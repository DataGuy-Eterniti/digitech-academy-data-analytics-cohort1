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igiTech Classes\DigiTech Excel class\"/>
    </mc:Choice>
  </mc:AlternateContent>
  <xr:revisionPtr revIDLastSave="0" documentId="13_ncr:1_{00607BAD-8DE5-462C-85EE-A5D22391DE88}" xr6:coauthVersionLast="47" xr6:coauthVersionMax="47" xr10:uidLastSave="{00000000-0000-0000-0000-000000000000}"/>
  <bookViews>
    <workbookView xWindow="-120" yWindow="-120" windowWidth="20730" windowHeight="11160" firstSheet="2" activeTab="6" xr2:uid="{00000000-000D-0000-FFFF-FFFF00000000}"/>
  </bookViews>
  <sheets>
    <sheet name="Summary" sheetId="3" r:id="rId1"/>
    <sheet name=" VLOOKUP (Exact)" sheetId="1" r:id="rId2"/>
    <sheet name="Parts Catalogue" sheetId="2" r:id="rId3"/>
    <sheet name="VLOOKUP (Approx)" sheetId="4" r:id="rId4"/>
    <sheet name="HLOOK 1" sheetId="5" r:id="rId5"/>
    <sheet name="HLOOK Ref" sheetId="6" r:id="rId6"/>
    <sheet name="XLOOKUP" sheetId="7" r:id="rId7"/>
  </sheets>
  <definedNames>
    <definedName name="Deb" localSheetId="2" hidden="1">{"FirstQ",#N/A,FALSE,"Budget2000";"SecondQ",#N/A,FALSE,"Budget2000"}</definedName>
    <definedName name="Deb" hidden="1">{"FirstQ",#N/A,FALSE,"Budget2000";"SecondQ",#N/A,FALSE,"Budget2000"}</definedName>
    <definedName name="ee" localSheetId="1" hidden="1">{"FirstQ",#N/A,FALSE,"Budget2000";"SecondQ",#N/A,FALSE,"Budget2000";"Summary",#N/A,FALSE,"Budget2000"}</definedName>
    <definedName name="ee" localSheetId="2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k" localSheetId="1" hidden="1">{"FirstQ",#N/A,FALSE,"Budget2000";"SecondQ",#N/A,FALSE,"Budget2000";"Summary",#N/A,FALSE,"Budget2000"}</definedName>
    <definedName name="k" localSheetId="2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localSheetId="1" hidden="1">{"FirstQ",#N/A,FALSE,"Budget2000";"SecondQ",#N/A,FALSE,"Budget2000";"Summary",#N/A,FALSE,"Budget2000"}</definedName>
    <definedName name="q" localSheetId="2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localSheetId="1" hidden="1">{"FirstQ",#N/A,FALSE,"Budget2000";"SecondQ",#N/A,FALSE,"Budget2000"}</definedName>
    <definedName name="rr" localSheetId="2" hidden="1">{"FirstQ",#N/A,FALSE,"Budget2000";"SecondQ",#N/A,FALSE,"Budget2000"}</definedName>
    <definedName name="rr" hidden="1">{"FirstQ",#N/A,FALSE,"Budget2000";"SecondQ",#N/A,FALSE,"Budget2000"}</definedName>
    <definedName name="rrr" localSheetId="1" hidden="1">{"AllDetail",#N/A,FALSE,"Research Budget";"1stQuarter",#N/A,FALSE,"Research Budget";"2nd Quarter",#N/A,FALSE,"Research Budget";"Summary",#N/A,FALSE,"Research Budget"}</definedName>
    <definedName name="rrr" localSheetId="2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Teesst" localSheetId="2" hidden="1">{"FirstQ",#N/A,FALSE,"Budget2000";"SecondQ",#N/A,FALSE,"Budget2000";"Summary",#N/A,FALSE,"Budget2000"}</definedName>
    <definedName name="Teesst" hidden="1">{"FirstQ",#N/A,FALSE,"Budget2000";"SecondQ",#N/A,FALSE,"Budget2000";"Summary",#N/A,FALSE,"Budget2000"}</definedName>
    <definedName name="Tesst" localSheetId="2" hidden="1">{"AllDetail",#N/A,FALSE,"Research Budget";"1stQuarter",#N/A,FALSE,"Research Budget";"2nd Quarter",#N/A,FALSE,"Research Budget";"Summary",#N/A,FALSE,"Research Budget"}</definedName>
    <definedName name="Tesst" hidden="1">{"AllDetail",#N/A,FALSE,"Research Budget";"1stQuarter",#N/A,FALSE,"Research Budget";"2nd Quarter",#N/A,FALSE,"Research Budget";"Summary",#N/A,FALSE,"Research Budget"}</definedName>
    <definedName name="Test" localSheetId="2" hidden="1">{"FirstQ",#N/A,FALSE,"Budget2000";"SecondQ",#N/A,FALSE,"Budget2000";"Summary",#N/A,FALSE,"Budget2000"}</definedName>
    <definedName name="Test" hidden="1">{"FirstQ",#N/A,FALSE,"Budget2000";"SecondQ",#N/A,FALSE,"Budget2000";"Summary",#N/A,FALSE,"Budget2000"}</definedName>
    <definedName name="wrn.AllData." localSheetId="1" hidden="1">{"FirstQ",#N/A,FALSE,"Budget2000";"SecondQ",#N/A,FALSE,"Budget2000";"Summary",#N/A,FALSE,"Budget2000"}</definedName>
    <definedName name="wrn.AllData." localSheetId="2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1" hidden="1">{"FirstQ",#N/A,FALSE,"Budget2000";"SecondQ",#N/A,FALSE,"Budget2000"}</definedName>
    <definedName name="wrn.FirstHalf." localSheetId="2" hidden="1">{"FirstQ",#N/A,FALSE,"Budget2000";"SecondQ",#N/A,FALSE,"Budget2000"}</definedName>
    <definedName name="wrn.FirstHalf." hidden="1">{"FirstQ",#N/A,FALSE,"Budget2000";"SecondQ",#N/A,FALSE,"Budget2000"}</definedName>
    <definedName name="wwerwr" localSheetId="2" hidden="1">{"FirstQ",#N/A,FALSE,"Budget2000";"SecondQ",#N/A,FALSE,"Budget2000";"Summary",#N/A,FALSE,"Budget2000"}</definedName>
    <definedName name="wwerwr" hidden="1">{"FirstQ",#N/A,FALSE,"Budget2000";"SecondQ",#N/A,FALSE,"Budget2000";"Summary",#N/A,FALSE,"Budget2000"}</definedName>
    <definedName name="x" localSheetId="1" hidden="1">{"FirstQ",#N/A,FALSE,"Budget2000";"SecondQ",#N/A,FALSE,"Budget2000";"Summary",#N/A,FALSE,"Budget2000"}</definedName>
    <definedName name="x" localSheetId="2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1" hidden="1">{"AllDetail",#N/A,FALSE,"Research Budget";"1stQuarter",#N/A,FALSE,"Research Budget";"2nd Quarter",#N/A,FALSE,"Research Budget";"Summary",#N/A,FALSE,"Research Budget"}</definedName>
    <definedName name="xxxxxxxxxxxxxxxxxxx" localSheetId="2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" i="7" l="1"/>
  <c r="E20" i="7"/>
  <c r="D20" i="7"/>
  <c r="C20" i="7"/>
  <c r="F7" i="4"/>
  <c r="F6" i="4"/>
  <c r="F5" i="4"/>
  <c r="C5" i="1"/>
  <c r="B6" i="1"/>
  <c r="B7" i="1"/>
  <c r="B8" i="1"/>
  <c r="B9" i="1"/>
  <c r="B10" i="1"/>
  <c r="B11" i="1"/>
  <c r="B5" i="1"/>
</calcChain>
</file>

<file path=xl/sharedStrings.xml><?xml version="1.0" encoding="utf-8"?>
<sst xmlns="http://schemas.openxmlformats.org/spreadsheetml/2006/main" count="274" uniqueCount="211">
  <si>
    <t>Part No.</t>
  </si>
  <si>
    <t>Description</t>
  </si>
  <si>
    <t>Unit price</t>
  </si>
  <si>
    <t>Part Number</t>
  </si>
  <si>
    <t>Price</t>
  </si>
  <si>
    <t>Drywall Screws : Collated Drywall Screws : Collated Drywall Black Fine Thread Screws 3.5 x 32mm Pk of 1000</t>
  </si>
  <si>
    <t>Coach Bolts &amp; Coach Screws : A2 Stainless Steel : Threaded Coach Bolts A2 Stainless Steel M10 x 110mm Pack of 10</t>
  </si>
  <si>
    <t>Extractor Fans : Bathroom : Manrose Axial 20W Pullcord Bathroom Fan</t>
  </si>
  <si>
    <t>Door Handles : Lever On Backplate Modern : Urfic Latch Door Handle Victoria Polished Brass</t>
  </si>
  <si>
    <t>Euro Cylinder Locks : 6 Pin Euro Cylinders : Yale Euro Cylinder BS 30x30 SN</t>
  </si>
  <si>
    <t>Hinges : Tee Hinges : Heavy Duty Scotch Tee Hinge 457mm Pack of 2</t>
  </si>
  <si>
    <t>Cable Management : Flexible Conduit : Flexible Conduit &amp; Gland Kit 10m x 25mm</t>
  </si>
  <si>
    <t>Door Handles : Lever On Backplate Modern : Toulouse Lever Back Plate Lever WC Polished Chrome</t>
  </si>
  <si>
    <t>Masonry Screws : Multi Monti : Multi-Monti T-Star Countersunk 6 x 100mm Pack of 50</t>
  </si>
  <si>
    <t>Radiator Valves : Thermostatic Radiator Valves (TRVs) : Pegler Terrier II White &amp; Chrome TRV 15mm Angled</t>
  </si>
  <si>
    <t>Chemical Fixings : Threaded Rod : A4 Stainless Steel Threaded Rods M6 x 1000mm Pack of 5</t>
  </si>
  <si>
    <t>Weatherproof Range : IP66 Switches &amp; Sockets : Masterplug Nexus 1G 13A Unswitched Socket</t>
  </si>
  <si>
    <t>Door Handles : Lever On Backplate Modern : Serozzetta Cuatro Lever on Backplate Latch Polished Chrome</t>
  </si>
  <si>
    <t>Door Handles : Lever On Backplate Modern : Toulouse Lever Lock Polished Chrome &amp; Satin Nickel</t>
  </si>
  <si>
    <t>Masonry Screws : Multi Monti : Multi-Monti Flanged Hex Head 7.5 x 60mm Pack of 50</t>
  </si>
  <si>
    <t>Door Handles : Lever On Backplate Modern : Serozzetta Uno Lever on Backplate Lock Polished Chrome</t>
  </si>
  <si>
    <t>Bolts : BZP High Tensile Bolts : BZP HT Hex Bolts M16X110 Pack Of 25</t>
  </si>
  <si>
    <t>Set Screws : BZP Set Screws : BZP Setscrews M16X 60 Pack Of 25</t>
  </si>
  <si>
    <t>Power Saw Blades : Various Material Saw Blades : Disston Remgrit Recip. Saw Blades 200mm PK5</t>
  </si>
  <si>
    <t>Draught &amp; Rain Excluders : Thresholds : Compression Draught Excluder Gold Anodised 914mm</t>
  </si>
  <si>
    <t>Door Handles : Lever On Backplate Modern : Serozzetta Dos Lever on Backplate Lock Polished Chrome</t>
  </si>
  <si>
    <t>Door Handles : Lever On Backplate Modern : Serozzetta Cuatro Lever on Backplate Latch Satin Chrome</t>
  </si>
  <si>
    <t>Roofing Screws : Roofing To Steel Screws : Self Drilling Screws with Washer 5.5 x 55mm Pack of 100</t>
  </si>
  <si>
    <t>Set Screws : BZP Set Screws : BZP Setscrews M20X50 Pack Of 25</t>
  </si>
  <si>
    <t>Switches &amp; Sockets : Crabtree Polished Brass LP : Crabtree 13A Sw FCU Polished Brass Flat Plate</t>
  </si>
  <si>
    <t>Coach Bolts &amp; Coach Screws : Net Coat Green : Exterior Coach Screws Green Corrosion Resistant M10 x 130mm Pack of 10</t>
  </si>
  <si>
    <t>End Feed Fittings : Yorkshire Endex End Feed : Yorkshire Endex Stop End N61 15mm Pack of 10</t>
  </si>
  <si>
    <t>Door Handles : Lever On Backplate Traditional : Urfic Latch Door Handle Ashworth Polished Brass</t>
  </si>
  <si>
    <t>Door Furniture : Pull Handles : Office D Pull Handle Satin Stainless Steel 225mm Pack of 2</t>
  </si>
  <si>
    <t>Nuts : BZP Nuts : Hex Nuts A4 Stainless Steel M10 Pack of 100</t>
  </si>
  <si>
    <t>Plastic Push Fit Fittings : JG Speedfit Fittings : JG Speedfit Reducing Coupler 22mm x 15mm Pack of 5</t>
  </si>
  <si>
    <t>Radiator Valves : Thermostatic Radiator Valves (TRVs) : Danfoss RAS-C² White &amp; Chrome TRV &amp; Lockshield 15mm Angled</t>
  </si>
  <si>
    <t>Door Handles : Lever On Backplate Modern : Bordeaux Lever Latch Brushed Nickel</t>
  </si>
  <si>
    <t>Compression Fittings : Yorkshire Kuterlite Compression : Yorkshire Kuterlite Stop End 651 22mm Pack of 5</t>
  </si>
  <si>
    <t>Set Screws : BZP Set Screws : BZP Setscrews M12X50 Pack Of 100</t>
  </si>
  <si>
    <t>Door handles : Lever On Backplate Modern : Serozzetta Cuatro Lever on Backplate Lock Satin Chrome</t>
  </si>
  <si>
    <t>Radiator Valves : Thermostatic Radiator Valves (TRVs) : Danfoss RAS-C² White &amp; Chrome TRV &amp; Lockshield 8/10mm Angled</t>
  </si>
  <si>
    <t>Door Handles : Door Packs Modern : Urfic Door Pack Nevada Polished Nickel</t>
  </si>
  <si>
    <t>Door Furniture : Pull Handles : Office D Pull Handle Polished Stainless Steel 225mm Pack of 2</t>
  </si>
  <si>
    <t>Coach Bolts &amp; Coach Screws : BZP (Bright Zinc Plated) : General Purpose BZP Threaded Coach Bolts M10 x 180mm Pack of 50</t>
  </si>
  <si>
    <t>Door Handles : Lever On Backplate Modern : Bordeaux Lever Lock Polished Chrome</t>
  </si>
  <si>
    <t>Door Handles : Mortice Sets Traditional : Jedo Fluted Door Knob Polished Chrome 56mm</t>
  </si>
  <si>
    <t>Solder Ring Fittings : Yorkshire Solder Ring : Yorkshire Solder Ring Tank Coupler YP5 22mm x ¾"</t>
  </si>
  <si>
    <t>Door Handles : Lever On Backplate Modern : Serozzetta Cuatro Lever on Backplate Lock Polished Chrome</t>
  </si>
  <si>
    <t>Euro Cylinder Locks : 6 Pin Euro Cylinders : Yale Euro Cylinder BS 30x30 PB</t>
  </si>
  <si>
    <t>Door Handles : Lever On Backplate Modern : Serozzetta Dos Lever on Backplate Lock Satin Chrome</t>
  </si>
  <si>
    <t>TV &amp; Satellite : HDMI : HDMI Cable Flat 1.5F</t>
  </si>
  <si>
    <t>Door Handles : Lever On Backplate Modern : Serozzetta Uno Lever on Backplate Lock Satin Chrome</t>
  </si>
  <si>
    <t>Junction &amp; Mounting Boxes : Mounting Boxes : Fast Fix Box Double Pack of 10</t>
  </si>
  <si>
    <t>Drywall Screws : Collated Drywall Screws : Collated Drywall BZP Fine Thread Screws 3.5 x 32mm Pk of 1000</t>
  </si>
  <si>
    <t>Compression Fittings : Yorkshire Kuterlite Compression : Yorkshire Kuterlite Straight Coupling 610 22mm Pack of 5</t>
  </si>
  <si>
    <t>Roofing Screws : Roofing To Steel Screws : Self Drilling Screws with Washer 5.5 x 38mm Pack of 100</t>
  </si>
  <si>
    <t>Specialist Screws : Electrical Screws : Electrical Screw M3.5 x 75mm Pack Of 50</t>
  </si>
  <si>
    <t>Door Handles : Mortice Sets Traditional : Jedo Fluted Door Knob Antique Bronze 56mm</t>
  </si>
  <si>
    <t>Indoor : Low Voltage Downlights : Halolite™ Adjustable Hexagonal Polished Chrome 12V Low Voltage Downlight</t>
  </si>
  <si>
    <t>Door Handles : Lever On Backplate Modern : Eclipse Cadenza Latch Door Handle Polished Chrome</t>
  </si>
  <si>
    <t>Floor Paints : Standard Floor Paints : No Nonsense Floor Paint Grey 2.5Ltr</t>
  </si>
  <si>
    <t>Compression Fittings : Conex Compression : Conex Female Wall Plate Elbow 403WL 22mm x 3/4"</t>
  </si>
  <si>
    <t>Door Handles : Lever On Rose Modern : Serozzetta Trend Lever on Rose Modern Door Handle Black Nickel</t>
  </si>
  <si>
    <t>Padlocks : Combination Padlocks : Squire 50mm All Weather Combination Padlock 26mm Shackle</t>
  </si>
  <si>
    <t>Door Handles : Lever On Backplate Modern : Bordeaux Lever Latch Satin Nickel</t>
  </si>
  <si>
    <t>Hinges : Specialist Hinges : Continuous Hinge Nickel Plated 1000mm Pk10</t>
  </si>
  <si>
    <t>Door Handles : Lever On Backplate Modern : Eclipse Cadenza Latch Door Handle Satin Chrome</t>
  </si>
  <si>
    <t>Drywall Screws : Uncollated Drywall Screws : Easydrive® Self-Drill BZP Drywall 75mm Pk500</t>
  </si>
  <si>
    <t>Door Handles : Door Packs Modern : Urfic Door Pack Constance Satin Nickel</t>
  </si>
  <si>
    <t>Hinges : Butt Hinges : Fire Door Hinge Grade 13 Electro-Brass Stainless Steel 102 x 76mm Pack of 3</t>
  </si>
  <si>
    <t>End Feed Fittings : Yorkshire Endex End Feed : Yorkshire Endex Tank Coupling N5 22mm x ¾"</t>
  </si>
  <si>
    <t>Door Handles : Door Packs Modern : Urfic Door Pack Constance Polished Nickel</t>
  </si>
  <si>
    <t>Door Handles : Door Packs Modern : Urfic Door Pack Nevada Satin Nickel</t>
  </si>
  <si>
    <t>Bolts : BZP High Tensile Bolts : BZP HTS Hex Bolts M20 x 60 Pack of 25</t>
  </si>
  <si>
    <t>Drywall Screws : Uncollated Drywall Screws : Easydrive® Black Reverse Thread Drywall 38mm Pk1000</t>
  </si>
  <si>
    <t>Radiator Valves : Thermostatic Radiator Valves (TRVs) : Pegler Terrier II White &amp; Chrome TRV 10mm Angled</t>
  </si>
  <si>
    <t>Lamps : Mains Voltage GU/GZ10 Halogen : Osram® Par 16 SES 40W Pack of 5</t>
  </si>
  <si>
    <t>End Feed Fittings : Yorkshire Endex End Feed : Yorkshire Endex Female Coupling N2 22mm x 1"</t>
  </si>
  <si>
    <t>Floor Paints : Standard Floor Paints : No Nonsense Floor Paint Red 2.5Ltr</t>
  </si>
  <si>
    <t>Door Handles : Lever On Backplate Modern : Toulouse Lever Lock Black Nickel</t>
  </si>
  <si>
    <t>Staples : Tacwise Staples : Cable Tacker Staples Galvanised White 14 x 7.6mm Pack of 5000</t>
  </si>
  <si>
    <t>Door Handles : Mortice Sets Traditional : Jedo Fluted Door Knob Black Nickel 56mm</t>
  </si>
  <si>
    <t>Door Handles : Lever On Backplate Modern : Eclipse Cadenza Lock Door Handle Polished Brass</t>
  </si>
  <si>
    <t>Drywall Screws : Collated Drywall Screws : Collated Drywall Black Coarse Thread Screws 3.5 x 32mm Pk of 1000</t>
  </si>
  <si>
    <t>Plastic Push Fit Fittings : JG Speedfit Fittings : JG Speedfit Reducing Tee 22mm x 22mm x 15mm Pack of 5</t>
  </si>
  <si>
    <t>Lookup Up Information using VLOOKUP (Exact Match)</t>
  </si>
  <si>
    <t>Part Catalogue</t>
  </si>
  <si>
    <t>Looking Up Information with VLOOKUP (Approx Match)</t>
  </si>
  <si>
    <t>Low End</t>
  </si>
  <si>
    <t>High End</t>
  </si>
  <si>
    <t>Marginal Tax Rate</t>
  </si>
  <si>
    <t>Annual Salary</t>
  </si>
  <si>
    <t>Above</t>
  </si>
  <si>
    <t xml:space="preserve">Navigating Excel: workbooks, worksheets, cells, rows, and columns </t>
  </si>
  <si>
    <t>Essential formulas and functions PRT I</t>
  </si>
  <si>
    <t>DAY 2 OBJECTIVES D</t>
  </si>
  <si>
    <t>Looking Up Horizontal Information Using HLOOKUP</t>
  </si>
  <si>
    <t>Film</t>
  </si>
  <si>
    <t>Year</t>
  </si>
  <si>
    <t>Rated</t>
  </si>
  <si>
    <t>Genre</t>
  </si>
  <si>
    <t>Title</t>
  </si>
  <si>
    <t>Release Date</t>
  </si>
  <si>
    <t>Runtime</t>
  </si>
  <si>
    <t>La La Land</t>
  </si>
  <si>
    <t>PG-13</t>
  </si>
  <si>
    <t>128 min</t>
  </si>
  <si>
    <t>Comedy, Drama, Music</t>
  </si>
  <si>
    <t>Moonlight</t>
  </si>
  <si>
    <t>R</t>
  </si>
  <si>
    <t>111 min</t>
  </si>
  <si>
    <t>Drama</t>
  </si>
  <si>
    <t>Manchester by the Sea</t>
  </si>
  <si>
    <t>137 min</t>
  </si>
  <si>
    <t>Jackie</t>
  </si>
  <si>
    <t>100 min</t>
  </si>
  <si>
    <t>Biography, Drama, History</t>
  </si>
  <si>
    <t>Toni Erdmann</t>
  </si>
  <si>
    <t>162 min</t>
  </si>
  <si>
    <t>Comedy, Drama</t>
  </si>
  <si>
    <t>Under the Shadow</t>
  </si>
  <si>
    <t>84 min</t>
  </si>
  <si>
    <t>Drama, Horror, Thriller</t>
  </si>
  <si>
    <t>13th</t>
  </si>
  <si>
    <t>TV-MA</t>
  </si>
  <si>
    <t>Documentary, Crime, History</t>
  </si>
  <si>
    <t>I, Daniel Blake</t>
  </si>
  <si>
    <t>Arrival</t>
  </si>
  <si>
    <t>116 min</t>
  </si>
  <si>
    <t>Drama, Mystery, Sci-Fi</t>
  </si>
  <si>
    <t>Hell or High Water</t>
  </si>
  <si>
    <t>102 min</t>
  </si>
  <si>
    <t>Crime, Drama, Thriller</t>
  </si>
  <si>
    <t>Jungle Book</t>
  </si>
  <si>
    <t>PG</t>
  </si>
  <si>
    <t>106 min</t>
  </si>
  <si>
    <t>Adventure, Drama, Family</t>
  </si>
  <si>
    <t>Star Wars: The Force Awakens</t>
  </si>
  <si>
    <t>136 min</t>
  </si>
  <si>
    <t>Action, Adventure, Fantasy</t>
  </si>
  <si>
    <t>The Revenant</t>
  </si>
  <si>
    <t>156 min</t>
  </si>
  <si>
    <t>Adventure, Drama, History</t>
  </si>
  <si>
    <t>Son of Saul</t>
  </si>
  <si>
    <t>107 min</t>
  </si>
  <si>
    <t>Drama, War</t>
  </si>
  <si>
    <t>Bridge of Spies</t>
  </si>
  <si>
    <t>142 min</t>
  </si>
  <si>
    <t>Drama, History, Thriller</t>
  </si>
  <si>
    <t>The Big Short</t>
  </si>
  <si>
    <t>130 min</t>
  </si>
  <si>
    <t>Biography, Comedy, Drama</t>
  </si>
  <si>
    <t>Spotlight</t>
  </si>
  <si>
    <t>Crime, Drama, History</t>
  </si>
  <si>
    <t>Tangerine</t>
  </si>
  <si>
    <t>88 min</t>
  </si>
  <si>
    <t>Comedy, Crime, Drama</t>
  </si>
  <si>
    <t>Straight Outta Compton</t>
  </si>
  <si>
    <t>147 min</t>
  </si>
  <si>
    <t>Mad Max: Fury Road</t>
  </si>
  <si>
    <t>120 min</t>
  </si>
  <si>
    <t>Action, Adventure, Sci-Fi</t>
  </si>
  <si>
    <t>Victoria</t>
  </si>
  <si>
    <t>NOT RATED</t>
  </si>
  <si>
    <t>138 min</t>
  </si>
  <si>
    <t>Crime, Drama, Romance</t>
  </si>
  <si>
    <t>Guardians of the Galaxy</t>
  </si>
  <si>
    <t>121 min</t>
  </si>
  <si>
    <t>The Grand Budapest Hotel</t>
  </si>
  <si>
    <t>99 min</t>
  </si>
  <si>
    <t>Adventure, Comedy, Crime</t>
  </si>
  <si>
    <t>The NEW! XLOOKUP and XMATCH Functions</t>
  </si>
  <si>
    <t>Basic Example</t>
  </si>
  <si>
    <t>Category</t>
  </si>
  <si>
    <t>App</t>
  </si>
  <si>
    <t>Revenue</t>
  </si>
  <si>
    <t>Profit</t>
  </si>
  <si>
    <t>Select App:</t>
  </si>
  <si>
    <t>Google Docs</t>
  </si>
  <si>
    <t>Game</t>
  </si>
  <si>
    <t>Temple Run</t>
  </si>
  <si>
    <t>Candy Crush</t>
  </si>
  <si>
    <t>Doom</t>
  </si>
  <si>
    <t>Bejewelled</t>
  </si>
  <si>
    <t>Productivity</t>
  </si>
  <si>
    <t>Office Lens</t>
  </si>
  <si>
    <t>OneDrive</t>
  </si>
  <si>
    <t>Social Media</t>
  </si>
  <si>
    <t>Twitter</t>
  </si>
  <si>
    <t>Instagram</t>
  </si>
  <si>
    <t>Facebook</t>
  </si>
  <si>
    <t>TikTok</t>
  </si>
  <si>
    <t>More Complex</t>
  </si>
  <si>
    <t>Actual</t>
  </si>
  <si>
    <t>Budget</t>
  </si>
  <si>
    <t>Select KPI:</t>
  </si>
  <si>
    <t>Division</t>
  </si>
  <si>
    <t>Apps</t>
  </si>
  <si>
    <t>Fightrr</t>
  </si>
  <si>
    <t>WenCaL</t>
  </si>
  <si>
    <t>Kryptis</t>
  </si>
  <si>
    <t>Perino</t>
  </si>
  <si>
    <t>Hackrr</t>
  </si>
  <si>
    <t>Array Solution with CSE</t>
  </si>
  <si>
    <t>Blend</t>
  </si>
  <si>
    <t>Sleops</t>
  </si>
  <si>
    <t>Utility</t>
  </si>
  <si>
    <t>Accord</t>
  </si>
  <si>
    <t>Misty Wash</t>
  </si>
  <si>
    <t>Twenty20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</si>
</sst>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&quot;£&quot;#,##0.00"/>
  </numFmts>
  <fonts count="1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lgerian"/>
      <family val="5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Arial"/>
      <family val="2"/>
    </font>
    <font>
      <b/>
      <sz val="11"/>
      <color theme="0"/>
      <name val="Arial"/>
      <family val="2"/>
    </font>
    <font>
      <b/>
      <sz val="13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-0.249977111117893"/>
        <bgColor theme="4"/>
      </patternFill>
    </fill>
    <fill>
      <patternFill patternType="solid">
        <fgColor rgb="FFFF6600"/>
        <bgColor indexed="64"/>
      </patternFill>
    </fill>
    <fill>
      <patternFill patternType="solid">
        <fgColor rgb="FFFF6600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38EC6"/>
        <bgColor indexed="64"/>
      </patternFill>
    </fill>
    <fill>
      <patternFill patternType="solid">
        <fgColor rgb="FFD2DEEE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1BBCC"/>
      </left>
      <right/>
      <top/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/>
      <top/>
      <bottom style="thin">
        <color indexed="64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left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164" fontId="0" fillId="0" borderId="0" xfId="0" applyNumberFormat="1"/>
    <xf numFmtId="0" fontId="0" fillId="0" borderId="0" xfId="0" applyAlignment="1">
      <alignment vertical="top"/>
    </xf>
    <xf numFmtId="0" fontId="7" fillId="0" borderId="0" xfId="0" applyFont="1"/>
    <xf numFmtId="164" fontId="0" fillId="0" borderId="3" xfId="0" applyNumberFormat="1" applyBorder="1"/>
    <xf numFmtId="9" fontId="0" fillId="0" borderId="3" xfId="2" applyFont="1" applyBorder="1"/>
    <xf numFmtId="165" fontId="0" fillId="0" borderId="3" xfId="0" applyNumberFormat="1" applyBorder="1"/>
    <xf numFmtId="9" fontId="0" fillId="0" borderId="3" xfId="0" applyNumberFormat="1" applyBorder="1"/>
    <xf numFmtId="44" fontId="0" fillId="0" borderId="3" xfId="1" applyFont="1" applyBorder="1"/>
    <xf numFmtId="0" fontId="0" fillId="0" borderId="3" xfId="0" applyBorder="1"/>
    <xf numFmtId="0" fontId="8" fillId="4" borderId="0" xfId="0" applyFont="1" applyFill="1"/>
    <xf numFmtId="0" fontId="0" fillId="4" borderId="0" xfId="0" applyFill="1"/>
    <xf numFmtId="0" fontId="8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11" fillId="0" borderId="0" xfId="0" applyFont="1"/>
    <xf numFmtId="0" fontId="0" fillId="0" borderId="4" xfId="0" applyBorder="1"/>
    <xf numFmtId="49" fontId="0" fillId="0" borderId="5" xfId="0" applyNumberFormat="1" applyBorder="1"/>
    <xf numFmtId="0" fontId="0" fillId="0" borderId="5" xfId="0" applyBorder="1"/>
    <xf numFmtId="14" fontId="0" fillId="0" borderId="5" xfId="0" applyNumberFormat="1" applyBorder="1"/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top"/>
    </xf>
    <xf numFmtId="0" fontId="12" fillId="4" borderId="4" xfId="0" applyFont="1" applyFill="1" applyBorder="1"/>
    <xf numFmtId="49" fontId="12" fillId="4" borderId="5" xfId="0" applyNumberFormat="1" applyFont="1" applyFill="1" applyBorder="1"/>
    <xf numFmtId="0" fontId="12" fillId="4" borderId="5" xfId="0" applyFont="1" applyFill="1" applyBorder="1"/>
    <xf numFmtId="14" fontId="12" fillId="4" borderId="5" xfId="0" applyNumberFormat="1" applyFont="1" applyFill="1" applyBorder="1"/>
    <xf numFmtId="0" fontId="3" fillId="0" borderId="6" xfId="0" applyFont="1" applyBorder="1"/>
    <xf numFmtId="0" fontId="13" fillId="0" borderId="6" xfId="0" applyFont="1" applyBorder="1"/>
    <xf numFmtId="0" fontId="6" fillId="0" borderId="0" xfId="0" applyFont="1" applyAlignment="1">
      <alignment horizontal="left"/>
    </xf>
    <xf numFmtId="0" fontId="0" fillId="0" borderId="7" xfId="0" applyBorder="1"/>
    <xf numFmtId="44" fontId="0" fillId="6" borderId="7" xfId="1" applyFont="1" applyFill="1" applyBorder="1"/>
    <xf numFmtId="0" fontId="0" fillId="0" borderId="0" xfId="0" applyAlignment="1">
      <alignment horizontal="left"/>
    </xf>
    <xf numFmtId="3" fontId="0" fillId="6" borderId="7" xfId="0" applyNumberFormat="1" applyFill="1" applyBorder="1"/>
    <xf numFmtId="0" fontId="13" fillId="0" borderId="0" xfId="0" applyFont="1"/>
    <xf numFmtId="0" fontId="5" fillId="7" borderId="0" xfId="0" applyFont="1" applyFill="1"/>
    <xf numFmtId="0" fontId="6" fillId="0" borderId="6" xfId="0" applyFont="1" applyBorder="1"/>
    <xf numFmtId="0" fontId="6" fillId="0" borderId="8" xfId="0" applyFont="1" applyBorder="1"/>
    <xf numFmtId="3" fontId="0" fillId="0" borderId="0" xfId="0" applyNumberFormat="1"/>
    <xf numFmtId="0" fontId="6" fillId="0" borderId="0" xfId="0" applyFont="1"/>
    <xf numFmtId="3" fontId="0" fillId="8" borderId="0" xfId="0" applyNumberFormat="1" applyFill="1"/>
    <xf numFmtId="0" fontId="0" fillId="0" borderId="6" xfId="0" applyBorder="1"/>
    <xf numFmtId="0" fontId="5" fillId="4" borderId="7" xfId="0" applyFont="1" applyFill="1" applyBorder="1"/>
    <xf numFmtId="0" fontId="5" fillId="4" borderId="7" xfId="0" applyFont="1" applyFill="1" applyBorder="1" applyAlignment="1">
      <alignment horizontal="left" wrapText="1"/>
    </xf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238125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82CB38-47A7-4F23-AFDC-3BFF7D481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0"/>
          <a:ext cx="2066925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68A5-6776-4EA2-B8B9-9BF7511D466D}">
  <sheetPr>
    <tabColor theme="8" tint="-0.249977111117893"/>
  </sheetPr>
  <dimension ref="B5:M7"/>
  <sheetViews>
    <sheetView workbookViewId="0">
      <selection activeCell="C12" sqref="C12"/>
    </sheetView>
  </sheetViews>
  <sheetFormatPr defaultRowHeight="15" x14ac:dyDescent="0.25"/>
  <sheetData>
    <row r="5" spans="2:13" ht="21.75" x14ac:dyDescent="0.35">
      <c r="B5" s="19" t="s">
        <v>96</v>
      </c>
      <c r="C5" s="19"/>
      <c r="D5" s="19"/>
      <c r="E5" s="19"/>
      <c r="F5" s="19"/>
      <c r="G5" s="19"/>
      <c r="H5" s="20"/>
      <c r="I5" s="20"/>
      <c r="J5" s="20"/>
      <c r="K5" s="20"/>
      <c r="L5" s="20"/>
      <c r="M5" s="20"/>
    </row>
    <row r="6" spans="2:13" ht="21.75" x14ac:dyDescent="0.25">
      <c r="B6" s="21" t="s">
        <v>94</v>
      </c>
      <c r="C6" s="21"/>
      <c r="D6" s="21"/>
      <c r="E6" s="21"/>
      <c r="F6" s="21"/>
      <c r="G6" s="21"/>
      <c r="H6" s="22"/>
      <c r="I6" s="22"/>
      <c r="J6" s="20"/>
      <c r="K6" s="20"/>
      <c r="L6" s="20"/>
      <c r="M6" s="20"/>
    </row>
    <row r="7" spans="2:13" ht="21.75" x14ac:dyDescent="0.25">
      <c r="B7" s="21" t="s">
        <v>95</v>
      </c>
      <c r="C7" s="21"/>
      <c r="D7" s="21"/>
      <c r="E7" s="21"/>
      <c r="F7" s="21"/>
      <c r="G7" s="21"/>
      <c r="H7" s="23"/>
      <c r="I7" s="23"/>
      <c r="J7" s="20"/>
      <c r="K7" s="20"/>
      <c r="L7" s="20"/>
      <c r="M7" s="2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</sheetPr>
  <dimension ref="A1:C11"/>
  <sheetViews>
    <sheetView workbookViewId="0">
      <selection activeCell="B18" sqref="B18"/>
    </sheetView>
  </sheetViews>
  <sheetFormatPr defaultRowHeight="15" x14ac:dyDescent="0.25"/>
  <cols>
    <col min="1" max="1" width="12.28515625" customWidth="1"/>
    <col min="2" max="2" width="97.7109375" bestFit="1" customWidth="1"/>
    <col min="3" max="3" width="38.140625" style="1" customWidth="1"/>
    <col min="4" max="4" width="18.42578125" bestFit="1" customWidth="1"/>
    <col min="5" max="5" width="17.5703125" customWidth="1"/>
    <col min="6" max="7" width="20.28515625" customWidth="1"/>
  </cols>
  <sheetData>
    <row r="1" spans="1:3" s="4" customFormat="1" ht="15.75" x14ac:dyDescent="0.25">
      <c r="A1" s="4" t="s">
        <v>86</v>
      </c>
      <c r="C1" s="5"/>
    </row>
    <row r="4" spans="1:3" ht="15.75" x14ac:dyDescent="0.25">
      <c r="A4" s="7" t="s">
        <v>0</v>
      </c>
      <c r="B4" s="8" t="s">
        <v>1</v>
      </c>
      <c r="C4" s="7" t="s">
        <v>2</v>
      </c>
    </row>
    <row r="5" spans="1:3" x14ac:dyDescent="0.25">
      <c r="A5">
        <v>19232</v>
      </c>
      <c r="B5" t="str">
        <f>IFERROR(VLOOKUP(A5,'Parts Catalogue'!$A$3:$C$87,2,0),"Not Found")</f>
        <v>Door Handles : Lever On Backplate Modern : Urfic Latch Door Handle Victoria Polished Brass</v>
      </c>
      <c r="C5">
        <f>IFERROR(VLOOKUP(A5,'Parts Catalogue'!$A$3:$C$87,3,0),"Not Found")</f>
        <v>18.941999999999997</v>
      </c>
    </row>
    <row r="6" spans="1:3" x14ac:dyDescent="0.25">
      <c r="A6">
        <v>48133</v>
      </c>
      <c r="B6" t="str">
        <f>IFERROR(VLOOKUP(A6,'Parts Catalogue'!$A$3:$C$87,2,0),"Not Found")</f>
        <v>Plastic Push Fit Fittings : JG Speedfit Fittings : JG Speedfit Reducing Coupler 22mm x 15mm Pack of 5</v>
      </c>
      <c r="C6"/>
    </row>
    <row r="7" spans="1:3" x14ac:dyDescent="0.25">
      <c r="A7">
        <v>12345</v>
      </c>
      <c r="B7" t="str">
        <f>IFERROR(VLOOKUP(A7,'Parts Catalogue'!$A$3:$C$87,2,0),"Not Found")</f>
        <v>Not Found</v>
      </c>
      <c r="C7"/>
    </row>
    <row r="8" spans="1:3" x14ac:dyDescent="0.25">
      <c r="A8">
        <v>75664</v>
      </c>
      <c r="B8" t="str">
        <f>IFERROR(VLOOKUP(A8,'Parts Catalogue'!$A$3:$C$87,2,0),"Not Found")</f>
        <v>Compression Fittings : Conex Compression : Conex Female Wall Plate Elbow 403WL 22mm x 3/4"</v>
      </c>
      <c r="C8"/>
    </row>
    <row r="9" spans="1:3" x14ac:dyDescent="0.25">
      <c r="A9">
        <v>51609</v>
      </c>
      <c r="B9" t="str">
        <f>IFERROR(VLOOKUP(A9,'Parts Catalogue'!$A$3:$C$87,2,0),"Not Found")</f>
        <v>Door handles : Lever On Backplate Modern : Serozzetta Cuatro Lever on Backplate Lock Satin Chrome</v>
      </c>
      <c r="C9"/>
    </row>
    <row r="10" spans="1:3" x14ac:dyDescent="0.25">
      <c r="A10">
        <v>21356</v>
      </c>
      <c r="B10" t="str">
        <f>IFERROR(VLOOKUP(A10,'Parts Catalogue'!$A$3:$C$87,2,0),"Not Found")</f>
        <v>Cable Management : Flexible Conduit : Flexible Conduit &amp; Gland Kit 10m x 25mm</v>
      </c>
      <c r="C10"/>
    </row>
    <row r="11" spans="1:3" x14ac:dyDescent="0.25">
      <c r="A11">
        <v>23130</v>
      </c>
      <c r="B11" t="str">
        <f>IFERROR(VLOOKUP(A11,'Parts Catalogue'!$A$3:$C$87,2,0),"Not Found")</f>
        <v>Radiator Valves : Thermostatic Radiator Valves (TRVs) : Pegler Terrier II White &amp; Chrome TRV 15mm Angled</v>
      </c>
      <c r="C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C88"/>
  <sheetViews>
    <sheetView workbookViewId="0">
      <selection activeCell="B12" sqref="B12"/>
    </sheetView>
  </sheetViews>
  <sheetFormatPr defaultRowHeight="15" x14ac:dyDescent="0.25"/>
  <cols>
    <col min="1" max="1" width="15.7109375" customWidth="1"/>
    <col min="2" max="2" width="67.42578125" style="6" customWidth="1"/>
    <col min="3" max="3" width="12.42578125" customWidth="1"/>
  </cols>
  <sheetData>
    <row r="1" spans="1:3" s="4" customFormat="1" ht="15.75" x14ac:dyDescent="0.25">
      <c r="A1" s="4" t="s">
        <v>87</v>
      </c>
      <c r="B1" s="9"/>
      <c r="C1" s="5"/>
    </row>
    <row r="3" spans="1:3" ht="15.75" x14ac:dyDescent="0.25">
      <c r="A3" s="29" t="s">
        <v>3</v>
      </c>
      <c r="B3" s="30" t="s">
        <v>1</v>
      </c>
      <c r="C3" s="29" t="s">
        <v>4</v>
      </c>
    </row>
    <row r="4" spans="1:3" ht="30" x14ac:dyDescent="0.25">
      <c r="A4" s="11">
        <v>15001</v>
      </c>
      <c r="B4" s="6" t="s">
        <v>5</v>
      </c>
      <c r="C4" s="10">
        <v>19.04</v>
      </c>
    </row>
    <row r="5" spans="1:3" ht="30" x14ac:dyDescent="0.25">
      <c r="A5" s="11">
        <v>16801</v>
      </c>
      <c r="B5" s="6" t="s">
        <v>6</v>
      </c>
      <c r="C5" s="10">
        <v>18.703999999999997</v>
      </c>
    </row>
    <row r="6" spans="1:3" x14ac:dyDescent="0.25">
      <c r="A6" s="11">
        <v>17122</v>
      </c>
      <c r="B6" s="6" t="s">
        <v>7</v>
      </c>
      <c r="C6" s="10">
        <v>17.849999999999998</v>
      </c>
    </row>
    <row r="7" spans="1:3" ht="30" x14ac:dyDescent="0.25">
      <c r="A7" s="11">
        <v>19232</v>
      </c>
      <c r="B7" s="6" t="s">
        <v>8</v>
      </c>
      <c r="C7" s="10">
        <v>18.941999999999997</v>
      </c>
    </row>
    <row r="8" spans="1:3" x14ac:dyDescent="0.25">
      <c r="A8" s="11">
        <v>20343</v>
      </c>
      <c r="B8" s="6" t="s">
        <v>9</v>
      </c>
      <c r="C8" s="10">
        <v>18.941999999999997</v>
      </c>
    </row>
    <row r="9" spans="1:3" x14ac:dyDescent="0.25">
      <c r="A9" s="11">
        <v>21303</v>
      </c>
      <c r="B9" s="6" t="s">
        <v>10</v>
      </c>
      <c r="C9" s="10">
        <v>19.012</v>
      </c>
    </row>
    <row r="10" spans="1:3" ht="30" x14ac:dyDescent="0.25">
      <c r="A10" s="11">
        <v>21356</v>
      </c>
      <c r="B10" s="6" t="s">
        <v>11</v>
      </c>
      <c r="C10" s="10">
        <v>18.032</v>
      </c>
    </row>
    <row r="11" spans="1:3" ht="30" x14ac:dyDescent="0.25">
      <c r="A11" s="11">
        <v>22234</v>
      </c>
      <c r="B11" s="6" t="s">
        <v>12</v>
      </c>
      <c r="C11" s="10">
        <v>19.236000000000001</v>
      </c>
    </row>
    <row r="12" spans="1:3" ht="30" x14ac:dyDescent="0.25">
      <c r="A12" s="11">
        <v>23045</v>
      </c>
      <c r="B12" s="6" t="s">
        <v>13</v>
      </c>
      <c r="C12" s="10">
        <v>19.123999999999999</v>
      </c>
    </row>
    <row r="13" spans="1:3" ht="30" x14ac:dyDescent="0.25">
      <c r="A13" s="11">
        <v>23130</v>
      </c>
      <c r="B13" s="6" t="s">
        <v>14</v>
      </c>
      <c r="C13" s="10">
        <v>18.661999999999999</v>
      </c>
    </row>
    <row r="14" spans="1:3" ht="30" x14ac:dyDescent="0.25">
      <c r="A14" s="11">
        <v>24402</v>
      </c>
      <c r="B14" s="6" t="s">
        <v>15</v>
      </c>
      <c r="C14" s="10">
        <v>18.773999999999997</v>
      </c>
    </row>
    <row r="15" spans="1:3" ht="30" x14ac:dyDescent="0.25">
      <c r="A15" s="11">
        <v>25138</v>
      </c>
      <c r="B15" s="6" t="s">
        <v>16</v>
      </c>
      <c r="C15" s="10">
        <v>17.849999999999998</v>
      </c>
    </row>
    <row r="16" spans="1:3" ht="30" x14ac:dyDescent="0.25">
      <c r="A16" s="11">
        <v>25189</v>
      </c>
      <c r="B16" s="6" t="s">
        <v>17</v>
      </c>
      <c r="C16" s="10">
        <v>19.04</v>
      </c>
    </row>
    <row r="17" spans="1:3" ht="30" x14ac:dyDescent="0.25">
      <c r="A17" s="11">
        <v>25571</v>
      </c>
      <c r="B17" s="6" t="s">
        <v>18</v>
      </c>
      <c r="C17" s="10">
        <v>19.04</v>
      </c>
    </row>
    <row r="18" spans="1:3" ht="30" x14ac:dyDescent="0.25">
      <c r="A18" s="11">
        <v>26905</v>
      </c>
      <c r="B18" s="6" t="s">
        <v>19</v>
      </c>
      <c r="C18" s="10">
        <v>18.731999999999999</v>
      </c>
    </row>
    <row r="19" spans="1:3" ht="30" x14ac:dyDescent="0.25">
      <c r="A19" s="11">
        <v>27495</v>
      </c>
      <c r="B19" s="6" t="s">
        <v>20</v>
      </c>
      <c r="C19" s="10">
        <v>19.04</v>
      </c>
    </row>
    <row r="20" spans="1:3" x14ac:dyDescent="0.25">
      <c r="A20" s="11">
        <v>28788</v>
      </c>
      <c r="B20" s="6" t="s">
        <v>21</v>
      </c>
      <c r="C20" s="10">
        <v>19.165999999999997</v>
      </c>
    </row>
    <row r="21" spans="1:3" x14ac:dyDescent="0.25">
      <c r="A21" s="11">
        <v>30763</v>
      </c>
      <c r="B21" s="6" t="s">
        <v>22</v>
      </c>
      <c r="C21" s="10">
        <v>18.955999999999996</v>
      </c>
    </row>
    <row r="22" spans="1:3" ht="30" x14ac:dyDescent="0.25">
      <c r="A22" s="11">
        <v>30871</v>
      </c>
      <c r="B22" s="6" t="s">
        <v>23</v>
      </c>
      <c r="C22" s="10">
        <v>19.165999999999997</v>
      </c>
    </row>
    <row r="23" spans="1:3" ht="30" x14ac:dyDescent="0.25">
      <c r="A23" s="11">
        <v>31020</v>
      </c>
      <c r="B23" s="6" t="s">
        <v>24</v>
      </c>
      <c r="C23" s="10">
        <v>19.082000000000001</v>
      </c>
    </row>
    <row r="24" spans="1:3" ht="30" x14ac:dyDescent="0.25">
      <c r="A24" s="11">
        <v>32759</v>
      </c>
      <c r="B24" s="6" t="s">
        <v>25</v>
      </c>
      <c r="C24" s="10">
        <v>18.955999999999996</v>
      </c>
    </row>
    <row r="25" spans="1:3" ht="30" x14ac:dyDescent="0.25">
      <c r="A25" s="11">
        <v>34288</v>
      </c>
      <c r="B25" s="6" t="s">
        <v>26</v>
      </c>
      <c r="C25" s="10">
        <v>19.012</v>
      </c>
    </row>
    <row r="26" spans="1:3" ht="30" x14ac:dyDescent="0.25">
      <c r="A26" s="11">
        <v>34328</v>
      </c>
      <c r="B26" s="6" t="s">
        <v>27</v>
      </c>
      <c r="C26" s="10">
        <v>18.731999999999999</v>
      </c>
    </row>
    <row r="27" spans="1:3" x14ac:dyDescent="0.25">
      <c r="A27" s="11">
        <v>37654</v>
      </c>
      <c r="B27" s="6" t="s">
        <v>28</v>
      </c>
      <c r="C27" s="10">
        <v>19.012</v>
      </c>
    </row>
    <row r="28" spans="1:3" x14ac:dyDescent="0.25">
      <c r="A28" s="11">
        <v>38849</v>
      </c>
      <c r="C28" s="10">
        <v>18.802</v>
      </c>
    </row>
    <row r="29" spans="1:3" ht="30" x14ac:dyDescent="0.25">
      <c r="A29" s="11">
        <v>39129</v>
      </c>
      <c r="B29" s="6" t="s">
        <v>29</v>
      </c>
      <c r="C29" s="10">
        <v>17.751999999999999</v>
      </c>
    </row>
    <row r="30" spans="1:3" ht="30" x14ac:dyDescent="0.25">
      <c r="A30" s="11">
        <v>43312</v>
      </c>
      <c r="B30" s="6" t="s">
        <v>30</v>
      </c>
      <c r="C30" s="10">
        <v>19.067999999999998</v>
      </c>
    </row>
    <row r="31" spans="1:3" ht="30" x14ac:dyDescent="0.25">
      <c r="A31" s="11">
        <v>43411</v>
      </c>
      <c r="B31" s="6" t="s">
        <v>31</v>
      </c>
      <c r="C31" s="10">
        <v>19.165999999999997</v>
      </c>
    </row>
    <row r="32" spans="1:3" ht="30" x14ac:dyDescent="0.25">
      <c r="A32" s="11">
        <v>43475</v>
      </c>
      <c r="B32" s="6" t="s">
        <v>32</v>
      </c>
      <c r="C32" s="10">
        <v>19.165999999999997</v>
      </c>
    </row>
    <row r="33" spans="1:3" ht="30" x14ac:dyDescent="0.25">
      <c r="A33" s="11">
        <v>47466</v>
      </c>
      <c r="B33" s="6" t="s">
        <v>33</v>
      </c>
      <c r="C33" s="10">
        <v>18.731999999999999</v>
      </c>
    </row>
    <row r="34" spans="1:3" x14ac:dyDescent="0.25">
      <c r="A34" s="11">
        <v>48108</v>
      </c>
      <c r="B34" s="6" t="s">
        <v>34</v>
      </c>
      <c r="C34" s="10">
        <v>18.773999999999997</v>
      </c>
    </row>
    <row r="35" spans="1:3" ht="30" x14ac:dyDescent="0.25">
      <c r="A35" s="11">
        <v>48133</v>
      </c>
      <c r="B35" s="6" t="s">
        <v>35</v>
      </c>
      <c r="C35" s="10">
        <v>18.661999999999999</v>
      </c>
    </row>
    <row r="36" spans="1:3" ht="30" x14ac:dyDescent="0.25">
      <c r="A36" s="11">
        <v>49331</v>
      </c>
      <c r="B36" s="6" t="s">
        <v>36</v>
      </c>
      <c r="C36" s="10">
        <v>19.123999999999999</v>
      </c>
    </row>
    <row r="37" spans="1:3" ht="30" x14ac:dyDescent="0.25">
      <c r="A37" s="11">
        <v>50251</v>
      </c>
      <c r="B37" s="6" t="s">
        <v>37</v>
      </c>
      <c r="C37" s="10">
        <v>19.11</v>
      </c>
    </row>
    <row r="38" spans="1:3" ht="30" x14ac:dyDescent="0.25">
      <c r="A38" s="11">
        <v>50419</v>
      </c>
      <c r="B38" s="6" t="s">
        <v>38</v>
      </c>
      <c r="C38" s="10">
        <v>19.123999999999999</v>
      </c>
    </row>
    <row r="39" spans="1:3" x14ac:dyDescent="0.25">
      <c r="A39" s="11">
        <v>50860</v>
      </c>
      <c r="B39" s="6" t="s">
        <v>39</v>
      </c>
      <c r="C39" s="10">
        <v>18.858000000000001</v>
      </c>
    </row>
    <row r="40" spans="1:3" ht="30" x14ac:dyDescent="0.25">
      <c r="A40" s="11">
        <v>51609</v>
      </c>
      <c r="B40" s="6" t="s">
        <v>40</v>
      </c>
      <c r="C40" s="10">
        <v>19.236000000000001</v>
      </c>
    </row>
    <row r="41" spans="1:3" ht="30" x14ac:dyDescent="0.25">
      <c r="A41" s="11">
        <v>53183</v>
      </c>
      <c r="B41" s="6" t="s">
        <v>41</v>
      </c>
      <c r="C41" s="10">
        <v>19.123999999999999</v>
      </c>
    </row>
    <row r="42" spans="1:3" ht="30" x14ac:dyDescent="0.25">
      <c r="A42" s="11">
        <v>54393</v>
      </c>
      <c r="B42" s="6" t="s">
        <v>42</v>
      </c>
      <c r="C42" s="10">
        <v>17.849999999999998</v>
      </c>
    </row>
    <row r="43" spans="1:3" ht="30" x14ac:dyDescent="0.25">
      <c r="A43" s="11">
        <v>54431</v>
      </c>
      <c r="B43" s="6" t="s">
        <v>43</v>
      </c>
      <c r="C43" s="10">
        <v>18.731999999999999</v>
      </c>
    </row>
    <row r="44" spans="1:3" ht="30" x14ac:dyDescent="0.25">
      <c r="A44" s="11">
        <v>54709</v>
      </c>
      <c r="B44" s="6" t="s">
        <v>44</v>
      </c>
      <c r="C44" s="10">
        <v>19.11</v>
      </c>
    </row>
    <row r="45" spans="1:3" ht="30" x14ac:dyDescent="0.25">
      <c r="A45" s="11">
        <v>56277</v>
      </c>
      <c r="B45" s="6" t="s">
        <v>45</v>
      </c>
      <c r="C45" s="10">
        <v>19.11</v>
      </c>
    </row>
    <row r="46" spans="1:3" ht="30" x14ac:dyDescent="0.25">
      <c r="A46" s="11">
        <v>58598</v>
      </c>
      <c r="B46" s="6" t="s">
        <v>46</v>
      </c>
      <c r="C46" s="10">
        <v>18.017999999999997</v>
      </c>
    </row>
    <row r="47" spans="1:3" ht="30" x14ac:dyDescent="0.25">
      <c r="A47" s="11">
        <v>59617</v>
      </c>
      <c r="B47" s="6" t="s">
        <v>47</v>
      </c>
      <c r="C47" s="10">
        <v>18.661999999999999</v>
      </c>
    </row>
    <row r="48" spans="1:3" ht="30" x14ac:dyDescent="0.25">
      <c r="A48" s="11">
        <v>60836</v>
      </c>
      <c r="B48" s="6" t="s">
        <v>48</v>
      </c>
      <c r="C48" s="10">
        <v>19.236000000000001</v>
      </c>
    </row>
    <row r="49" spans="1:3" x14ac:dyDescent="0.25">
      <c r="A49" s="11">
        <v>60915</v>
      </c>
      <c r="B49" s="6" t="s">
        <v>49</v>
      </c>
      <c r="C49" s="10">
        <v>18.941999999999997</v>
      </c>
    </row>
    <row r="50" spans="1:3" ht="30" x14ac:dyDescent="0.25">
      <c r="A50" s="11">
        <v>61272</v>
      </c>
      <c r="B50" s="6" t="s">
        <v>50</v>
      </c>
      <c r="C50" s="10">
        <v>19.012</v>
      </c>
    </row>
    <row r="51" spans="1:3" x14ac:dyDescent="0.25">
      <c r="A51" s="11">
        <v>63232</v>
      </c>
      <c r="B51" s="6" t="s">
        <v>51</v>
      </c>
      <c r="C51" s="10">
        <v>17.849999999999998</v>
      </c>
    </row>
    <row r="52" spans="1:3" ht="30" x14ac:dyDescent="0.25">
      <c r="A52" s="11">
        <v>63484</v>
      </c>
      <c r="B52" s="6" t="s">
        <v>52</v>
      </c>
      <c r="C52" s="10">
        <v>18.032</v>
      </c>
    </row>
    <row r="53" spans="1:3" ht="30" x14ac:dyDescent="0.25">
      <c r="A53" s="11">
        <v>63911</v>
      </c>
      <c r="B53" s="6" t="s">
        <v>53</v>
      </c>
      <c r="C53" s="10">
        <v>17.821999999999999</v>
      </c>
    </row>
    <row r="54" spans="1:3" ht="30" x14ac:dyDescent="0.25">
      <c r="A54" s="11">
        <v>64091</v>
      </c>
      <c r="B54" s="6" t="s">
        <v>54</v>
      </c>
      <c r="C54" s="10">
        <v>19.04</v>
      </c>
    </row>
    <row r="55" spans="1:3" ht="30" x14ac:dyDescent="0.25">
      <c r="A55" s="11">
        <v>64315</v>
      </c>
      <c r="B55" s="6" t="s">
        <v>55</v>
      </c>
      <c r="C55" s="10">
        <v>19.123999999999999</v>
      </c>
    </row>
    <row r="56" spans="1:3" ht="30" x14ac:dyDescent="0.25">
      <c r="A56" s="11">
        <v>64530</v>
      </c>
      <c r="B56" s="6" t="s">
        <v>56</v>
      </c>
      <c r="C56" s="10">
        <v>18.731999999999999</v>
      </c>
    </row>
    <row r="57" spans="1:3" ht="30" x14ac:dyDescent="0.25">
      <c r="A57" s="11">
        <v>64633</v>
      </c>
      <c r="B57" s="6" t="s">
        <v>57</v>
      </c>
      <c r="C57" s="10">
        <v>18.661999999999999</v>
      </c>
    </row>
    <row r="58" spans="1:3" ht="30" x14ac:dyDescent="0.25">
      <c r="A58" s="11">
        <v>71564</v>
      </c>
      <c r="B58" s="6" t="s">
        <v>58</v>
      </c>
      <c r="C58" s="10">
        <v>19.11</v>
      </c>
    </row>
    <row r="59" spans="1:3" ht="30" x14ac:dyDescent="0.25">
      <c r="A59" s="11">
        <v>71860</v>
      </c>
      <c r="B59" s="6" t="s">
        <v>59</v>
      </c>
      <c r="C59" s="10">
        <v>18.017999999999997</v>
      </c>
    </row>
    <row r="60" spans="1:3" ht="30" x14ac:dyDescent="0.25">
      <c r="A60" s="11">
        <v>74314</v>
      </c>
      <c r="B60" s="6" t="s">
        <v>60</v>
      </c>
      <c r="C60" s="10">
        <v>19.082000000000001</v>
      </c>
    </row>
    <row r="61" spans="1:3" x14ac:dyDescent="0.25">
      <c r="A61" s="11">
        <v>74591</v>
      </c>
      <c r="B61" s="6" t="s">
        <v>61</v>
      </c>
      <c r="C61" s="10">
        <v>17.486000000000001</v>
      </c>
    </row>
    <row r="62" spans="1:3" ht="30" x14ac:dyDescent="0.25">
      <c r="A62" s="11">
        <v>75664</v>
      </c>
      <c r="B62" s="6" t="s">
        <v>62</v>
      </c>
      <c r="C62" s="10">
        <v>19.123999999999999</v>
      </c>
    </row>
    <row r="63" spans="1:3" ht="30" x14ac:dyDescent="0.25">
      <c r="A63" s="11">
        <v>76363</v>
      </c>
      <c r="B63" s="6" t="s">
        <v>63</v>
      </c>
      <c r="C63" s="10">
        <v>19.236000000000001</v>
      </c>
    </row>
    <row r="64" spans="1:3" ht="30" x14ac:dyDescent="0.25">
      <c r="A64" s="11">
        <v>76596</v>
      </c>
      <c r="B64" s="6" t="s">
        <v>64</v>
      </c>
      <c r="C64" s="10">
        <v>20.986000000000001</v>
      </c>
    </row>
    <row r="65" spans="1:3" ht="30" x14ac:dyDescent="0.25">
      <c r="A65" s="11">
        <v>76765</v>
      </c>
      <c r="B65" s="6" t="s">
        <v>65</v>
      </c>
      <c r="C65" s="10">
        <v>19.067999999999998</v>
      </c>
    </row>
    <row r="66" spans="1:3" x14ac:dyDescent="0.25">
      <c r="A66" s="11">
        <v>78899</v>
      </c>
      <c r="B66" s="6" t="s">
        <v>66</v>
      </c>
      <c r="C66" s="10">
        <v>18.885999999999999</v>
      </c>
    </row>
    <row r="67" spans="1:3" ht="30" x14ac:dyDescent="0.25">
      <c r="A67" s="11">
        <v>78992</v>
      </c>
      <c r="B67" s="6" t="s">
        <v>67</v>
      </c>
      <c r="C67" s="10">
        <v>19.082000000000001</v>
      </c>
    </row>
    <row r="68" spans="1:3" ht="30" x14ac:dyDescent="0.25">
      <c r="A68" s="11">
        <v>80484</v>
      </c>
      <c r="B68" s="6" t="s">
        <v>68</v>
      </c>
      <c r="C68" s="10">
        <v>19.11</v>
      </c>
    </row>
    <row r="69" spans="1:3" ht="30" x14ac:dyDescent="0.25">
      <c r="A69" s="11">
        <v>80490</v>
      </c>
      <c r="B69" s="6" t="s">
        <v>69</v>
      </c>
      <c r="C69" s="10">
        <v>17.849999999999998</v>
      </c>
    </row>
    <row r="70" spans="1:3" ht="30" x14ac:dyDescent="0.25">
      <c r="A70" s="11">
        <v>81719</v>
      </c>
      <c r="B70" s="6" t="s">
        <v>70</v>
      </c>
      <c r="C70" s="10">
        <v>19.082000000000001</v>
      </c>
    </row>
    <row r="71" spans="1:3" ht="30" x14ac:dyDescent="0.25">
      <c r="A71" s="11">
        <v>82616</v>
      </c>
      <c r="B71" s="6" t="s">
        <v>14</v>
      </c>
      <c r="C71" s="10">
        <v>18.661999999999999</v>
      </c>
    </row>
    <row r="72" spans="1:3" ht="30" x14ac:dyDescent="0.25">
      <c r="A72" s="11">
        <v>83731</v>
      </c>
      <c r="B72" s="6" t="s">
        <v>71</v>
      </c>
      <c r="C72" s="10">
        <v>18.661999999999999</v>
      </c>
    </row>
    <row r="73" spans="1:3" ht="30" x14ac:dyDescent="0.25">
      <c r="A73" s="11">
        <v>84566</v>
      </c>
      <c r="B73" s="6" t="s">
        <v>72</v>
      </c>
      <c r="C73" s="10">
        <v>18.885999999999999</v>
      </c>
    </row>
    <row r="74" spans="1:3" x14ac:dyDescent="0.25">
      <c r="A74" s="11">
        <v>85497</v>
      </c>
      <c r="B74" s="6" t="s">
        <v>73</v>
      </c>
      <c r="C74" s="10">
        <v>18.941999999999997</v>
      </c>
    </row>
    <row r="75" spans="1:3" x14ac:dyDescent="0.25">
      <c r="A75" s="11">
        <v>87521</v>
      </c>
      <c r="B75" s="6" t="s">
        <v>74</v>
      </c>
      <c r="C75" s="10">
        <v>19.165999999999997</v>
      </c>
    </row>
    <row r="76" spans="1:3" ht="30" x14ac:dyDescent="0.25">
      <c r="A76" s="11">
        <v>88755</v>
      </c>
      <c r="B76" s="6" t="s">
        <v>75</v>
      </c>
      <c r="C76" s="10">
        <v>19.11</v>
      </c>
    </row>
    <row r="77" spans="1:3" ht="30" x14ac:dyDescent="0.25">
      <c r="A77" s="11">
        <v>88878</v>
      </c>
      <c r="B77" s="6" t="s">
        <v>76</v>
      </c>
      <c r="C77" s="10">
        <v>18.661999999999999</v>
      </c>
    </row>
    <row r="78" spans="1:3" ht="30" x14ac:dyDescent="0.25">
      <c r="A78" s="11">
        <v>90727</v>
      </c>
      <c r="B78" s="6" t="s">
        <v>77</v>
      </c>
      <c r="C78" s="10">
        <v>17.849999999999998</v>
      </c>
    </row>
    <row r="79" spans="1:3" ht="30" x14ac:dyDescent="0.25">
      <c r="A79" s="11">
        <v>91831</v>
      </c>
      <c r="B79" s="6" t="s">
        <v>78</v>
      </c>
      <c r="C79" s="10">
        <v>18.661999999999999</v>
      </c>
    </row>
    <row r="80" spans="1:3" x14ac:dyDescent="0.25">
      <c r="A80" s="11">
        <v>92857</v>
      </c>
      <c r="B80" s="6" t="s">
        <v>79</v>
      </c>
      <c r="C80" s="10">
        <v>17.486000000000001</v>
      </c>
    </row>
    <row r="81" spans="1:3" ht="30" x14ac:dyDescent="0.25">
      <c r="A81" s="11">
        <v>93492</v>
      </c>
      <c r="B81" s="6" t="s">
        <v>80</v>
      </c>
      <c r="C81" s="10">
        <v>19.236000000000001</v>
      </c>
    </row>
    <row r="82" spans="1:3" ht="30" x14ac:dyDescent="0.25">
      <c r="A82" s="11">
        <v>94088</v>
      </c>
      <c r="B82" s="6" t="s">
        <v>81</v>
      </c>
      <c r="C82" s="10">
        <v>19.123999999999999</v>
      </c>
    </row>
    <row r="83" spans="1:3" ht="30" x14ac:dyDescent="0.25">
      <c r="A83" s="11">
        <v>96041</v>
      </c>
      <c r="B83" s="6" t="s">
        <v>82</v>
      </c>
      <c r="C83" s="10">
        <v>19.123999999999999</v>
      </c>
    </row>
    <row r="84" spans="1:3" ht="30" x14ac:dyDescent="0.25">
      <c r="A84" s="11">
        <v>97094</v>
      </c>
      <c r="B84" s="6" t="s">
        <v>83</v>
      </c>
      <c r="C84" s="10">
        <v>19.165999999999997</v>
      </c>
    </row>
    <row r="85" spans="1:3" ht="30" x14ac:dyDescent="0.25">
      <c r="A85" s="11">
        <v>97713</v>
      </c>
      <c r="B85" s="6" t="s">
        <v>84</v>
      </c>
      <c r="C85" s="10">
        <v>19.04</v>
      </c>
    </row>
    <row r="86" spans="1:3" ht="30" x14ac:dyDescent="0.25">
      <c r="A86" s="11">
        <v>98322</v>
      </c>
      <c r="B86" s="6" t="s">
        <v>85</v>
      </c>
      <c r="C86" s="10">
        <v>18.661999999999999</v>
      </c>
    </row>
    <row r="87" spans="1:3" ht="30" x14ac:dyDescent="0.25">
      <c r="A87" s="11">
        <v>98703</v>
      </c>
      <c r="B87" s="6" t="s">
        <v>76</v>
      </c>
      <c r="C87" s="10">
        <v>18.661999999999999</v>
      </c>
    </row>
    <row r="88" spans="1:3" x14ac:dyDescent="0.25">
      <c r="A88" s="2"/>
      <c r="B8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1B8B3-439F-44D7-BBB2-07296469891C}">
  <dimension ref="A1:G10"/>
  <sheetViews>
    <sheetView workbookViewId="0">
      <selection activeCell="A17" sqref="A17"/>
    </sheetView>
  </sheetViews>
  <sheetFormatPr defaultRowHeight="15" x14ac:dyDescent="0.25"/>
  <cols>
    <col min="1" max="1" width="56.85546875" bestFit="1" customWidth="1"/>
    <col min="2" max="2" width="12.5703125" bestFit="1" customWidth="1"/>
    <col min="5" max="5" width="14.7109375" bestFit="1" customWidth="1"/>
  </cols>
  <sheetData>
    <row r="1" spans="1:7" ht="15.75" x14ac:dyDescent="0.25">
      <c r="A1" s="4" t="s">
        <v>88</v>
      </c>
      <c r="B1" s="9"/>
      <c r="C1" s="5"/>
      <c r="D1" s="4"/>
      <c r="E1" s="4"/>
      <c r="F1" s="4"/>
      <c r="G1" s="4"/>
    </row>
    <row r="2" spans="1:7" ht="15.75" x14ac:dyDescent="0.25">
      <c r="A2" s="12"/>
    </row>
    <row r="3" spans="1:7" ht="15.75" x14ac:dyDescent="0.25">
      <c r="A3" s="12"/>
    </row>
    <row r="4" spans="1:7" ht="15.75" x14ac:dyDescent="0.25">
      <c r="A4" s="31" t="s">
        <v>89</v>
      </c>
      <c r="B4" s="31" t="s">
        <v>90</v>
      </c>
      <c r="C4" s="31" t="s">
        <v>91</v>
      </c>
      <c r="E4" s="31" t="s">
        <v>92</v>
      </c>
      <c r="F4" s="31" t="s">
        <v>91</v>
      </c>
    </row>
    <row r="5" spans="1:7" x14ac:dyDescent="0.25">
      <c r="A5" s="13">
        <v>0</v>
      </c>
      <c r="B5" s="13">
        <v>8699.99</v>
      </c>
      <c r="C5" s="14">
        <v>0.1</v>
      </c>
      <c r="E5" s="15">
        <v>55000</v>
      </c>
      <c r="F5" s="16">
        <f>VLOOKUP(E5,$A$4:$C$10,3,TRUE)</f>
        <v>0.25</v>
      </c>
    </row>
    <row r="6" spans="1:7" x14ac:dyDescent="0.25">
      <c r="A6" s="13">
        <v>8700</v>
      </c>
      <c r="B6" s="13">
        <v>35349.99</v>
      </c>
      <c r="C6" s="14">
        <v>0.15</v>
      </c>
      <c r="E6" s="15">
        <v>8699</v>
      </c>
      <c r="F6" s="16">
        <f>VLOOKUP(E6,$A$4:$C$10,3,TRUE)</f>
        <v>0.1</v>
      </c>
    </row>
    <row r="7" spans="1:7" x14ac:dyDescent="0.25">
      <c r="A7" s="13">
        <v>35350</v>
      </c>
      <c r="B7" s="13">
        <v>85648.99</v>
      </c>
      <c r="C7" s="14">
        <v>0.25</v>
      </c>
      <c r="E7" s="15">
        <v>90000</v>
      </c>
      <c r="F7" s="16">
        <f>VLOOKUP(E7,$A$4:$C$10,3,TRUE)</f>
        <v>0.28000000000000003</v>
      </c>
    </row>
    <row r="8" spans="1:7" x14ac:dyDescent="0.25">
      <c r="A8" s="13">
        <v>85650</v>
      </c>
      <c r="B8" s="13">
        <v>178649.99</v>
      </c>
      <c r="C8" s="14">
        <v>0.28000000000000003</v>
      </c>
    </row>
    <row r="9" spans="1:7" ht="15.75" x14ac:dyDescent="0.25">
      <c r="A9" s="13">
        <v>178650</v>
      </c>
      <c r="B9" s="13">
        <v>388349.99</v>
      </c>
      <c r="C9" s="14">
        <v>0.33</v>
      </c>
      <c r="D9" s="12"/>
    </row>
    <row r="10" spans="1:7" ht="15.75" x14ac:dyDescent="0.25">
      <c r="A10" s="17">
        <v>388350</v>
      </c>
      <c r="B10" s="18" t="s">
        <v>93</v>
      </c>
      <c r="C10" s="14">
        <v>0.35</v>
      </c>
      <c r="D10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3858-0D0F-49D1-A8D9-7AF6F2F58049}">
  <dimension ref="A1:D9"/>
  <sheetViews>
    <sheetView workbookViewId="0">
      <selection activeCell="F5" sqref="F5"/>
    </sheetView>
  </sheetViews>
  <sheetFormatPr defaultRowHeight="15" x14ac:dyDescent="0.25"/>
  <sheetData>
    <row r="1" spans="1:4" ht="15.75" x14ac:dyDescent="0.25">
      <c r="A1" s="24" t="s">
        <v>97</v>
      </c>
      <c r="B1" s="24"/>
      <c r="C1" s="24"/>
      <c r="D1" s="24"/>
    </row>
    <row r="5" spans="1:4" x14ac:dyDescent="0.25">
      <c r="A5" s="32" t="s">
        <v>98</v>
      </c>
      <c r="B5" s="25"/>
    </row>
    <row r="7" spans="1:4" x14ac:dyDescent="0.25">
      <c r="A7" s="32" t="s">
        <v>99</v>
      </c>
      <c r="B7" s="25"/>
    </row>
    <row r="8" spans="1:4" x14ac:dyDescent="0.25">
      <c r="A8" s="32" t="s">
        <v>100</v>
      </c>
      <c r="B8" s="25"/>
    </row>
    <row r="9" spans="1:4" x14ac:dyDescent="0.25">
      <c r="A9" s="32" t="s">
        <v>101</v>
      </c>
      <c r="B9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1DCB-C455-4FE5-B906-46A1FC0D3127}">
  <dimension ref="A1:F27"/>
  <sheetViews>
    <sheetView workbookViewId="0">
      <selection activeCell="H13" sqref="H13"/>
    </sheetView>
  </sheetViews>
  <sheetFormatPr defaultRowHeight="15" x14ac:dyDescent="0.25"/>
  <cols>
    <col min="1" max="1" width="34.28515625" customWidth="1"/>
    <col min="2" max="2" width="9.28515625" customWidth="1"/>
    <col min="3" max="3" width="15" customWidth="1"/>
    <col min="4" max="4" width="15.140625" bestFit="1" customWidth="1"/>
    <col min="5" max="5" width="12.5703125" customWidth="1"/>
    <col min="6" max="6" width="34.28515625" customWidth="1"/>
  </cols>
  <sheetData>
    <row r="1" spans="1:6" s="24" customFormat="1" ht="15.75" x14ac:dyDescent="0.25">
      <c r="A1" s="24" t="s">
        <v>97</v>
      </c>
    </row>
    <row r="4" spans="1:6" x14ac:dyDescent="0.25">
      <c r="A4" s="33" t="s">
        <v>102</v>
      </c>
      <c r="B4" s="34" t="s">
        <v>99</v>
      </c>
      <c r="C4" s="33" t="s">
        <v>100</v>
      </c>
      <c r="D4" s="35" t="s">
        <v>103</v>
      </c>
      <c r="E4" s="34" t="s">
        <v>104</v>
      </c>
      <c r="F4" s="34" t="s">
        <v>101</v>
      </c>
    </row>
    <row r="5" spans="1:6" x14ac:dyDescent="0.25">
      <c r="A5" s="26" t="s">
        <v>105</v>
      </c>
      <c r="B5" s="27">
        <v>2016</v>
      </c>
      <c r="C5" s="26" t="s">
        <v>106</v>
      </c>
      <c r="D5" s="28">
        <v>42729</v>
      </c>
      <c r="E5" s="27" t="s">
        <v>107</v>
      </c>
      <c r="F5" s="27" t="s">
        <v>108</v>
      </c>
    </row>
    <row r="6" spans="1:6" x14ac:dyDescent="0.25">
      <c r="A6" s="26" t="s">
        <v>109</v>
      </c>
      <c r="B6" s="27">
        <v>2016</v>
      </c>
      <c r="C6" s="26" t="s">
        <v>110</v>
      </c>
      <c r="D6" s="28">
        <v>42692</v>
      </c>
      <c r="E6" s="27" t="s">
        <v>111</v>
      </c>
      <c r="F6" s="27" t="s">
        <v>112</v>
      </c>
    </row>
    <row r="7" spans="1:6" x14ac:dyDescent="0.25">
      <c r="A7" s="26" t="s">
        <v>113</v>
      </c>
      <c r="B7" s="27">
        <v>2016</v>
      </c>
      <c r="C7" s="26" t="s">
        <v>110</v>
      </c>
      <c r="D7" s="28">
        <v>42720</v>
      </c>
      <c r="E7" s="27" t="s">
        <v>114</v>
      </c>
      <c r="F7" s="27" t="s">
        <v>112</v>
      </c>
    </row>
    <row r="8" spans="1:6" x14ac:dyDescent="0.25">
      <c r="A8" s="26" t="s">
        <v>115</v>
      </c>
      <c r="B8" s="27">
        <v>2016</v>
      </c>
      <c r="C8" s="26" t="s">
        <v>110</v>
      </c>
      <c r="D8" s="28">
        <v>42706</v>
      </c>
      <c r="E8" s="27" t="s">
        <v>116</v>
      </c>
      <c r="F8" s="27" t="s">
        <v>117</v>
      </c>
    </row>
    <row r="9" spans="1:6" x14ac:dyDescent="0.25">
      <c r="A9" s="26" t="s">
        <v>118</v>
      </c>
      <c r="B9" s="27">
        <v>2016</v>
      </c>
      <c r="C9" s="26" t="s">
        <v>110</v>
      </c>
      <c r="D9" s="28">
        <v>42729</v>
      </c>
      <c r="E9" s="27" t="s">
        <v>119</v>
      </c>
      <c r="F9" s="27" t="s">
        <v>120</v>
      </c>
    </row>
    <row r="10" spans="1:6" x14ac:dyDescent="0.25">
      <c r="A10" s="26" t="s">
        <v>121</v>
      </c>
      <c r="B10" s="27">
        <v>2016</v>
      </c>
      <c r="C10" s="26" t="s">
        <v>106</v>
      </c>
      <c r="D10" s="28">
        <v>42650</v>
      </c>
      <c r="E10" s="27" t="s">
        <v>122</v>
      </c>
      <c r="F10" s="27" t="s">
        <v>123</v>
      </c>
    </row>
    <row r="11" spans="1:6" x14ac:dyDescent="0.25">
      <c r="A11" s="26" t="s">
        <v>124</v>
      </c>
      <c r="B11" s="27">
        <v>2016</v>
      </c>
      <c r="C11" s="26" t="s">
        <v>125</v>
      </c>
      <c r="D11" s="28">
        <v>42650</v>
      </c>
      <c r="E11" s="27" t="s">
        <v>116</v>
      </c>
      <c r="F11" s="27" t="s">
        <v>126</v>
      </c>
    </row>
    <row r="12" spans="1:6" x14ac:dyDescent="0.25">
      <c r="A12" s="26" t="s">
        <v>127</v>
      </c>
      <c r="B12" s="27">
        <v>2016</v>
      </c>
      <c r="C12" s="26" t="s">
        <v>110</v>
      </c>
      <c r="D12" s="28">
        <v>42895</v>
      </c>
      <c r="E12" s="27" t="s">
        <v>116</v>
      </c>
      <c r="F12" s="27" t="s">
        <v>112</v>
      </c>
    </row>
    <row r="13" spans="1:6" x14ac:dyDescent="0.25">
      <c r="A13" s="26" t="s">
        <v>128</v>
      </c>
      <c r="B13" s="27">
        <v>2016</v>
      </c>
      <c r="C13" s="26" t="s">
        <v>106</v>
      </c>
      <c r="D13" s="28">
        <v>42685</v>
      </c>
      <c r="E13" s="27" t="s">
        <v>129</v>
      </c>
      <c r="F13" s="27" t="s">
        <v>130</v>
      </c>
    </row>
    <row r="14" spans="1:6" x14ac:dyDescent="0.25">
      <c r="A14" s="26" t="s">
        <v>131</v>
      </c>
      <c r="B14" s="27">
        <v>2016</v>
      </c>
      <c r="C14" s="26" t="s">
        <v>110</v>
      </c>
      <c r="D14" s="28">
        <v>42608</v>
      </c>
      <c r="E14" s="27" t="s">
        <v>132</v>
      </c>
      <c r="F14" s="27" t="s">
        <v>133</v>
      </c>
    </row>
    <row r="15" spans="1:6" x14ac:dyDescent="0.25">
      <c r="A15" s="26" t="s">
        <v>134</v>
      </c>
      <c r="B15" s="27">
        <v>2016</v>
      </c>
      <c r="C15" s="26" t="s">
        <v>135</v>
      </c>
      <c r="D15" s="28">
        <v>42475</v>
      </c>
      <c r="E15" s="27" t="s">
        <v>136</v>
      </c>
      <c r="F15" s="27" t="s">
        <v>137</v>
      </c>
    </row>
    <row r="16" spans="1:6" x14ac:dyDescent="0.25">
      <c r="A16" s="26" t="s">
        <v>138</v>
      </c>
      <c r="B16" s="27">
        <v>2015</v>
      </c>
      <c r="C16" s="26" t="s">
        <v>106</v>
      </c>
      <c r="D16" s="28">
        <v>42356</v>
      </c>
      <c r="E16" s="27" t="s">
        <v>139</v>
      </c>
      <c r="F16" s="27" t="s">
        <v>140</v>
      </c>
    </row>
    <row r="17" spans="1:6" x14ac:dyDescent="0.25">
      <c r="A17" s="26" t="s">
        <v>141</v>
      </c>
      <c r="B17" s="27">
        <v>2015</v>
      </c>
      <c r="C17" s="26" t="s">
        <v>110</v>
      </c>
      <c r="D17" s="28">
        <v>42377</v>
      </c>
      <c r="E17" s="27" t="s">
        <v>142</v>
      </c>
      <c r="F17" s="27" t="s">
        <v>143</v>
      </c>
    </row>
    <row r="18" spans="1:6" x14ac:dyDescent="0.25">
      <c r="A18" s="26" t="s">
        <v>144</v>
      </c>
      <c r="B18" s="27">
        <v>2015</v>
      </c>
      <c r="C18" s="26" t="s">
        <v>110</v>
      </c>
      <c r="D18" s="28">
        <v>42166</v>
      </c>
      <c r="E18" s="27" t="s">
        <v>145</v>
      </c>
      <c r="F18" s="27" t="s">
        <v>146</v>
      </c>
    </row>
    <row r="19" spans="1:6" x14ac:dyDescent="0.25">
      <c r="A19" s="26" t="s">
        <v>147</v>
      </c>
      <c r="B19" s="27">
        <v>2015</v>
      </c>
      <c r="C19" s="26" t="s">
        <v>106</v>
      </c>
      <c r="D19" s="28">
        <v>42293</v>
      </c>
      <c r="E19" s="27" t="s">
        <v>148</v>
      </c>
      <c r="F19" s="27" t="s">
        <v>149</v>
      </c>
    </row>
    <row r="20" spans="1:6" x14ac:dyDescent="0.25">
      <c r="A20" s="26" t="s">
        <v>150</v>
      </c>
      <c r="B20" s="27">
        <v>2015</v>
      </c>
      <c r="C20" s="26" t="s">
        <v>110</v>
      </c>
      <c r="D20" s="28">
        <v>42361</v>
      </c>
      <c r="E20" s="27" t="s">
        <v>151</v>
      </c>
      <c r="F20" s="27" t="s">
        <v>152</v>
      </c>
    </row>
    <row r="21" spans="1:6" x14ac:dyDescent="0.25">
      <c r="A21" s="26" t="s">
        <v>153</v>
      </c>
      <c r="B21" s="27">
        <v>2015</v>
      </c>
      <c r="C21" s="26" t="s">
        <v>110</v>
      </c>
      <c r="D21" s="28">
        <v>42328</v>
      </c>
      <c r="E21" s="27" t="s">
        <v>107</v>
      </c>
      <c r="F21" s="27" t="s">
        <v>154</v>
      </c>
    </row>
    <row r="22" spans="1:6" x14ac:dyDescent="0.25">
      <c r="A22" s="26" t="s">
        <v>155</v>
      </c>
      <c r="B22" s="27">
        <v>2015</v>
      </c>
      <c r="C22" s="26" t="s">
        <v>110</v>
      </c>
      <c r="D22" s="28">
        <v>42195</v>
      </c>
      <c r="E22" s="27" t="s">
        <v>156</v>
      </c>
      <c r="F22" s="27" t="s">
        <v>157</v>
      </c>
    </row>
    <row r="23" spans="1:6" x14ac:dyDescent="0.25">
      <c r="A23" s="26" t="s">
        <v>158</v>
      </c>
      <c r="B23" s="27">
        <v>2015</v>
      </c>
      <c r="C23" s="26" t="s">
        <v>110</v>
      </c>
      <c r="D23" s="28">
        <v>42230</v>
      </c>
      <c r="E23" s="27" t="s">
        <v>159</v>
      </c>
      <c r="F23" s="27" t="s">
        <v>117</v>
      </c>
    </row>
    <row r="24" spans="1:6" x14ac:dyDescent="0.25">
      <c r="A24" s="26" t="s">
        <v>160</v>
      </c>
      <c r="B24" s="27">
        <v>2015</v>
      </c>
      <c r="C24" s="26" t="s">
        <v>110</v>
      </c>
      <c r="D24" s="28">
        <v>42139</v>
      </c>
      <c r="E24" s="27" t="s">
        <v>161</v>
      </c>
      <c r="F24" s="27" t="s">
        <v>162</v>
      </c>
    </row>
    <row r="25" spans="1:6" x14ac:dyDescent="0.25">
      <c r="A25" s="26" t="s">
        <v>163</v>
      </c>
      <c r="B25" s="27">
        <v>2015</v>
      </c>
      <c r="C25" s="26" t="s">
        <v>164</v>
      </c>
      <c r="D25" s="28">
        <v>42166</v>
      </c>
      <c r="E25" s="27" t="s">
        <v>165</v>
      </c>
      <c r="F25" s="27" t="s">
        <v>166</v>
      </c>
    </row>
    <row r="26" spans="1:6" x14ac:dyDescent="0.25">
      <c r="A26" s="26" t="s">
        <v>167</v>
      </c>
      <c r="B26" s="27">
        <v>2014</v>
      </c>
      <c r="C26" s="26" t="s">
        <v>106</v>
      </c>
      <c r="D26" s="28">
        <v>41852</v>
      </c>
      <c r="E26" s="27" t="s">
        <v>168</v>
      </c>
      <c r="F26" s="27" t="s">
        <v>162</v>
      </c>
    </row>
    <row r="27" spans="1:6" x14ac:dyDescent="0.25">
      <c r="A27" s="26" t="s">
        <v>169</v>
      </c>
      <c r="B27" s="27">
        <v>2014</v>
      </c>
      <c r="C27" s="26" t="s">
        <v>110</v>
      </c>
      <c r="D27" s="28">
        <v>41726</v>
      </c>
      <c r="E27" s="27" t="s">
        <v>170</v>
      </c>
      <c r="F27" s="27" t="s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35F9C-CC77-4191-92EA-7C0D3ED3537B}">
  <dimension ref="A1:I34"/>
  <sheetViews>
    <sheetView tabSelected="1" workbookViewId="0">
      <selection activeCell="M13" sqref="M13"/>
    </sheetView>
  </sheetViews>
  <sheetFormatPr defaultRowHeight="15" x14ac:dyDescent="0.25"/>
  <cols>
    <col min="1" max="1" width="16.140625" customWidth="1"/>
    <col min="2" max="2" width="13.7109375" customWidth="1"/>
    <col min="3" max="3" width="14.5703125" bestFit="1" customWidth="1"/>
    <col min="4" max="4" width="11.5703125" bestFit="1" customWidth="1"/>
    <col min="5" max="5" width="15.28515625" bestFit="1" customWidth="1"/>
    <col min="6" max="6" width="12.28515625" bestFit="1" customWidth="1"/>
    <col min="7" max="7" width="14.28515625" customWidth="1"/>
    <col min="8" max="8" width="21.5703125" customWidth="1"/>
  </cols>
  <sheetData>
    <row r="1" spans="1:8" s="4" customFormat="1" ht="15.75" x14ac:dyDescent="0.25">
      <c r="A1" s="4" t="s">
        <v>172</v>
      </c>
      <c r="B1" s="9"/>
      <c r="C1" s="5"/>
    </row>
    <row r="3" spans="1:8" ht="17.25" x14ac:dyDescent="0.3">
      <c r="A3" s="36" t="s">
        <v>173</v>
      </c>
      <c r="B3" s="37"/>
      <c r="C3" s="37"/>
      <c r="D3" s="37"/>
      <c r="E3" s="37"/>
      <c r="F3" s="37"/>
      <c r="G3" s="37"/>
      <c r="H3" s="37"/>
    </row>
    <row r="5" spans="1:8" x14ac:dyDescent="0.25">
      <c r="A5" s="51" t="s">
        <v>174</v>
      </c>
      <c r="B5" s="52" t="s">
        <v>175</v>
      </c>
      <c r="C5" s="51" t="s">
        <v>176</v>
      </c>
      <c r="D5" s="51" t="s">
        <v>177</v>
      </c>
      <c r="G5" s="38" t="s">
        <v>178</v>
      </c>
      <c r="H5" s="51" t="s">
        <v>179</v>
      </c>
    </row>
    <row r="6" spans="1:8" x14ac:dyDescent="0.25">
      <c r="A6" s="39" t="s">
        <v>180</v>
      </c>
      <c r="B6" s="39" t="s">
        <v>181</v>
      </c>
      <c r="C6" s="40">
        <v>11649</v>
      </c>
      <c r="D6" s="40">
        <v>802</v>
      </c>
      <c r="G6" s="41" t="s">
        <v>174</v>
      </c>
      <c r="H6" s="42"/>
    </row>
    <row r="7" spans="1:8" x14ac:dyDescent="0.25">
      <c r="A7" s="39" t="s">
        <v>180</v>
      </c>
      <c r="B7" s="39" t="s">
        <v>182</v>
      </c>
      <c r="C7" s="40">
        <v>7718</v>
      </c>
      <c r="D7" s="40">
        <v>876</v>
      </c>
      <c r="G7" s="41" t="s">
        <v>177</v>
      </c>
      <c r="H7" s="40"/>
    </row>
    <row r="8" spans="1:8" x14ac:dyDescent="0.25">
      <c r="A8" s="39" t="s">
        <v>180</v>
      </c>
      <c r="B8" s="39" t="s">
        <v>183</v>
      </c>
      <c r="C8" s="40">
        <v>15033</v>
      </c>
      <c r="D8" s="40">
        <v>469</v>
      </c>
      <c r="G8" s="41"/>
    </row>
    <row r="9" spans="1:8" x14ac:dyDescent="0.25">
      <c r="A9" s="39" t="s">
        <v>180</v>
      </c>
      <c r="B9" s="39" t="s">
        <v>184</v>
      </c>
      <c r="C9" s="40">
        <v>18700.5</v>
      </c>
      <c r="D9" s="40">
        <v>984.90000000000009</v>
      </c>
      <c r="G9" s="41" t="s">
        <v>176</v>
      </c>
      <c r="H9" s="40"/>
    </row>
    <row r="10" spans="1:8" x14ac:dyDescent="0.25">
      <c r="A10" s="39" t="s">
        <v>185</v>
      </c>
      <c r="B10" s="39" t="s">
        <v>186</v>
      </c>
      <c r="C10" s="40">
        <v>14432</v>
      </c>
      <c r="D10" s="40">
        <v>240</v>
      </c>
    </row>
    <row r="11" spans="1:8" x14ac:dyDescent="0.25">
      <c r="A11" s="39" t="s">
        <v>185</v>
      </c>
      <c r="B11" s="39" t="s">
        <v>179</v>
      </c>
      <c r="C11" s="40">
        <v>17990</v>
      </c>
      <c r="D11" s="40">
        <v>1166</v>
      </c>
    </row>
    <row r="12" spans="1:8" x14ac:dyDescent="0.25">
      <c r="A12" s="39" t="s">
        <v>185</v>
      </c>
      <c r="B12" s="39" t="s">
        <v>187</v>
      </c>
      <c r="C12" s="40">
        <v>11022</v>
      </c>
      <c r="D12" s="40">
        <v>550</v>
      </c>
    </row>
    <row r="13" spans="1:8" x14ac:dyDescent="0.25">
      <c r="A13" s="39" t="s">
        <v>188</v>
      </c>
      <c r="B13" s="39" t="s">
        <v>189</v>
      </c>
      <c r="C13" s="40">
        <v>17760</v>
      </c>
      <c r="D13" s="40">
        <v>800</v>
      </c>
    </row>
    <row r="14" spans="1:8" x14ac:dyDescent="0.25">
      <c r="A14" s="39" t="s">
        <v>188</v>
      </c>
      <c r="B14" s="39" t="s">
        <v>190</v>
      </c>
      <c r="C14" s="40">
        <v>30399.599999999999</v>
      </c>
      <c r="D14" s="40">
        <v>786.8</v>
      </c>
    </row>
    <row r="15" spans="1:8" x14ac:dyDescent="0.25">
      <c r="A15" s="39" t="s">
        <v>188</v>
      </c>
      <c r="B15" s="39" t="s">
        <v>191</v>
      </c>
      <c r="C15" s="40">
        <v>20400</v>
      </c>
      <c r="D15" s="40">
        <v>614.40000000000009</v>
      </c>
    </row>
    <row r="16" spans="1:8" x14ac:dyDescent="0.25">
      <c r="A16" s="39" t="s">
        <v>188</v>
      </c>
      <c r="B16" s="39" t="s">
        <v>192</v>
      </c>
      <c r="C16" s="40">
        <v>60000</v>
      </c>
      <c r="D16" s="40">
        <v>10000</v>
      </c>
    </row>
    <row r="18" spans="1:9" ht="17.25" hidden="1" x14ac:dyDescent="0.3">
      <c r="A18" s="36" t="s">
        <v>193</v>
      </c>
      <c r="B18" s="37"/>
      <c r="C18" s="37"/>
      <c r="D18" s="37"/>
      <c r="E18" s="37"/>
      <c r="F18" s="37"/>
      <c r="G18" s="37"/>
      <c r="H18" s="37"/>
    </row>
    <row r="19" spans="1:9" ht="17.25" hidden="1" x14ac:dyDescent="0.3">
      <c r="A19" s="4"/>
      <c r="B19" s="43"/>
      <c r="C19" s="43"/>
      <c r="D19" s="43"/>
      <c r="E19" s="43"/>
      <c r="F19" s="43"/>
      <c r="G19" s="43"/>
      <c r="H19" s="43"/>
    </row>
    <row r="20" spans="1:9" hidden="1" x14ac:dyDescent="0.25">
      <c r="C20" t="str">
        <f>C21&amp;C22</f>
        <v>ActualRevenue</v>
      </c>
      <c r="D20" t="str">
        <f t="shared" ref="D20:F20" si="0">D21&amp;D22</f>
        <v>ActualProfit</v>
      </c>
      <c r="E20" t="str">
        <f t="shared" si="0"/>
        <v>BudgetRevenue</v>
      </c>
      <c r="F20" t="str">
        <f t="shared" si="0"/>
        <v>BudgetProfit</v>
      </c>
    </row>
    <row r="21" spans="1:9" hidden="1" x14ac:dyDescent="0.25">
      <c r="C21" s="44" t="s">
        <v>194</v>
      </c>
      <c r="D21" s="44" t="s">
        <v>194</v>
      </c>
      <c r="E21" s="44" t="s">
        <v>195</v>
      </c>
      <c r="F21" s="44" t="s">
        <v>195</v>
      </c>
      <c r="H21" s="45" t="s">
        <v>196</v>
      </c>
      <c r="I21" s="45" t="s">
        <v>194</v>
      </c>
    </row>
    <row r="22" spans="1:9" hidden="1" x14ac:dyDescent="0.25">
      <c r="A22" s="44" t="s">
        <v>197</v>
      </c>
      <c r="B22" s="44" t="s">
        <v>198</v>
      </c>
      <c r="C22" s="44" t="s">
        <v>176</v>
      </c>
      <c r="D22" s="44" t="s">
        <v>177</v>
      </c>
      <c r="E22" s="44" t="s">
        <v>176</v>
      </c>
      <c r="F22" s="44" t="s">
        <v>177</v>
      </c>
      <c r="I22" s="46" t="s">
        <v>176</v>
      </c>
    </row>
    <row r="23" spans="1:9" hidden="1" x14ac:dyDescent="0.25">
      <c r="A23" t="s">
        <v>180</v>
      </c>
      <c r="B23" t="s">
        <v>199</v>
      </c>
      <c r="C23" s="47">
        <v>11649</v>
      </c>
      <c r="D23" s="47">
        <v>802</v>
      </c>
      <c r="E23" s="47">
        <v>10593</v>
      </c>
      <c r="F23" s="47">
        <v>554</v>
      </c>
      <c r="H23" s="48" t="s">
        <v>200</v>
      </c>
      <c r="I23" s="49"/>
    </row>
    <row r="24" spans="1:9" hidden="1" x14ac:dyDescent="0.25">
      <c r="A24" t="s">
        <v>180</v>
      </c>
      <c r="B24" t="s">
        <v>201</v>
      </c>
      <c r="C24" s="47">
        <v>7718</v>
      </c>
      <c r="D24" s="47">
        <v>876</v>
      </c>
      <c r="E24" s="47">
        <v>6409</v>
      </c>
      <c r="F24" s="47">
        <v>654</v>
      </c>
    </row>
    <row r="25" spans="1:9" hidden="1" x14ac:dyDescent="0.25">
      <c r="A25" t="s">
        <v>180</v>
      </c>
      <c r="B25" t="s">
        <v>202</v>
      </c>
      <c r="C25" s="47">
        <v>15033</v>
      </c>
      <c r="D25" s="47">
        <v>469</v>
      </c>
      <c r="E25" s="47">
        <v>12724</v>
      </c>
      <c r="F25" s="47">
        <v>530</v>
      </c>
    </row>
    <row r="26" spans="1:9" hidden="1" x14ac:dyDescent="0.25">
      <c r="A26" t="s">
        <v>180</v>
      </c>
      <c r="B26" t="s">
        <v>203</v>
      </c>
      <c r="C26" s="47">
        <v>18700.5</v>
      </c>
      <c r="D26" s="47">
        <v>984.90000000000009</v>
      </c>
      <c r="E26" s="47">
        <v>19101.600000000002</v>
      </c>
      <c r="F26" s="47">
        <v>1302</v>
      </c>
      <c r="H26" s="45" t="s">
        <v>204</v>
      </c>
      <c r="I26" s="50"/>
    </row>
    <row r="27" spans="1:9" hidden="1" x14ac:dyDescent="0.25">
      <c r="A27" t="s">
        <v>185</v>
      </c>
      <c r="B27" t="s">
        <v>200</v>
      </c>
      <c r="C27" s="47">
        <v>14432</v>
      </c>
      <c r="D27" s="47">
        <v>240</v>
      </c>
      <c r="E27" s="47">
        <v>15113</v>
      </c>
      <c r="F27" s="47">
        <v>363</v>
      </c>
      <c r="I27" s="49"/>
    </row>
    <row r="28" spans="1:9" hidden="1" x14ac:dyDescent="0.25">
      <c r="A28" t="s">
        <v>185</v>
      </c>
      <c r="B28" t="s">
        <v>205</v>
      </c>
      <c r="C28" s="47">
        <v>17990</v>
      </c>
      <c r="D28" s="47">
        <v>1166</v>
      </c>
      <c r="E28" s="47">
        <v>18181</v>
      </c>
      <c r="F28" s="47">
        <v>1223</v>
      </c>
    </row>
    <row r="29" spans="1:9" hidden="1" x14ac:dyDescent="0.25">
      <c r="A29" t="s">
        <v>185</v>
      </c>
      <c r="B29" t="s">
        <v>206</v>
      </c>
      <c r="C29" s="47">
        <v>11022</v>
      </c>
      <c r="D29" s="47">
        <v>550</v>
      </c>
      <c r="E29" s="47">
        <v>13112</v>
      </c>
      <c r="F29" s="47">
        <v>474</v>
      </c>
    </row>
    <row r="30" spans="1:9" hidden="1" x14ac:dyDescent="0.25">
      <c r="A30" t="s">
        <v>207</v>
      </c>
      <c r="B30" t="s">
        <v>208</v>
      </c>
      <c r="C30" s="47">
        <v>17760</v>
      </c>
      <c r="D30" s="47">
        <v>800</v>
      </c>
      <c r="E30" s="47">
        <v>16854</v>
      </c>
      <c r="F30" s="47">
        <v>572</v>
      </c>
    </row>
    <row r="31" spans="1:9" hidden="1" x14ac:dyDescent="0.25">
      <c r="A31" t="s">
        <v>207</v>
      </c>
      <c r="B31" t="s">
        <v>209</v>
      </c>
      <c r="C31" s="47">
        <v>30399.599999999999</v>
      </c>
      <c r="D31" s="47">
        <v>786.8</v>
      </c>
      <c r="E31" s="47">
        <v>30237.199999999997</v>
      </c>
      <c r="F31" s="47">
        <v>932.4</v>
      </c>
    </row>
    <row r="32" spans="1:9" hidden="1" x14ac:dyDescent="0.25">
      <c r="A32" t="s">
        <v>207</v>
      </c>
      <c r="B32" t="s">
        <v>210</v>
      </c>
      <c r="C32" s="47">
        <v>20400</v>
      </c>
      <c r="D32" s="47">
        <v>614.40000000000009</v>
      </c>
      <c r="E32" s="47">
        <v>18476.8</v>
      </c>
      <c r="F32" s="47">
        <v>1120</v>
      </c>
    </row>
    <row r="33" customFormat="1" hidden="1" x14ac:dyDescent="0.25"/>
    <row r="34" customFormat="1" hidden="1" x14ac:dyDescent="0.25"/>
  </sheetData>
  <dataValidations count="4">
    <dataValidation type="list" allowBlank="1" showInputMessage="1" showErrorMessage="1" sqref="I22" xr:uid="{2A732043-7881-4FBC-947D-FA507C74BC49}">
      <formula1>$C$22:$D$22</formula1>
    </dataValidation>
    <dataValidation type="list" allowBlank="1" showInputMessage="1" showErrorMessage="1" sqref="H23" xr:uid="{86FA5665-0EC7-49B5-B88E-CAA03F261507}">
      <formula1>$B$22:$B$31</formula1>
    </dataValidation>
    <dataValidation type="list" allowBlank="1" showInputMessage="1" showErrorMessage="1" sqref="I21" xr:uid="{15CCEC3F-99CE-4F14-AE24-47CFA85E659E}">
      <formula1>$D$21:$E$21</formula1>
    </dataValidation>
    <dataValidation type="list" allowBlank="1" showInputMessage="1" showErrorMessage="1" sqref="H5" xr:uid="{B55A98A7-6F83-47E5-BE52-2566338C1CC5}">
      <formula1>$B$6:$B$16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 VLOOKUP (Exact)</vt:lpstr>
      <vt:lpstr>Parts Catalogue</vt:lpstr>
      <vt:lpstr>VLOOKUP (Approx)</vt:lpstr>
      <vt:lpstr>HLOOK 1</vt:lpstr>
      <vt:lpstr>HLOOK Ref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Elijah Adeniji</cp:lastModifiedBy>
  <dcterms:created xsi:type="dcterms:W3CDTF">2021-11-20T01:47:14Z</dcterms:created>
  <dcterms:modified xsi:type="dcterms:W3CDTF">2026-06-03T09:15:22Z</dcterms:modified>
</cp:coreProperties>
</file>