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igiTech Classes\DigiTech Excel class\"/>
    </mc:Choice>
  </mc:AlternateContent>
  <xr:revisionPtr revIDLastSave="0" documentId="13_ncr:1_{253C82BC-0204-41C2-A69F-68FBA56CF0F1}" xr6:coauthVersionLast="47" xr6:coauthVersionMax="47" xr10:uidLastSave="{00000000-0000-0000-0000-000000000000}"/>
  <bookViews>
    <workbookView xWindow="-120" yWindow="-120" windowWidth="20730" windowHeight="11160" activeTab="2" xr2:uid="{D65FF853-2800-49D2-ADA6-489BE9547E09}"/>
  </bookViews>
  <sheets>
    <sheet name="Summary" sheetId="2" r:id="rId1"/>
    <sheet name="Functions 1" sheetId="1" r:id="rId2"/>
    <sheet name="Count Functions" sheetId="3" r:id="rId3"/>
    <sheet name="Handling Errors" sheetId="4" r:id="rId4"/>
  </sheets>
  <externalReferences>
    <externalReference r:id="rId5"/>
  </externalReferences>
  <definedNames>
    <definedName name="_xlnm._FilterDatabase" localSheetId="2" hidden="1">'Count Functions'!$C$3:$D$16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 a="1"/>
  <c r="N4" i="3" s="1"/>
  <c r="G6" i="3"/>
  <c r="G7" i="3"/>
  <c r="G8" i="3"/>
  <c r="G9" i="3"/>
  <c r="G10" i="3"/>
  <c r="G5" i="3"/>
  <c r="E5" i="3"/>
  <c r="E6" i="3"/>
  <c r="E7" i="3"/>
  <c r="E8" i="3"/>
  <c r="E9" i="3"/>
  <c r="E10" i="3"/>
  <c r="E11" i="3"/>
  <c r="E12" i="3"/>
  <c r="E13" i="3"/>
  <c r="E14" i="3"/>
  <c r="E15" i="3"/>
  <c r="E16" i="3"/>
  <c r="E4" i="3"/>
  <c r="L9" i="3" a="1"/>
  <c r="L9" i="3" s="1"/>
  <c r="J14" i="3"/>
  <c r="J11" i="3"/>
  <c r="H12" i="3"/>
  <c r="H13" i="3"/>
  <c r="G19" i="3"/>
  <c r="D19" i="3"/>
  <c r="D18" i="3"/>
  <c r="J5" i="4"/>
  <c r="J4" i="4"/>
  <c r="H3" i="3"/>
  <c r="I24" i="1"/>
  <c r="I23" i="1"/>
  <c r="I22" i="1"/>
  <c r="I25" i="1"/>
  <c r="I21" i="1"/>
  <c r="I20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1" i="1"/>
  <c r="L8" i="1"/>
  <c r="L7" i="1"/>
  <c r="K6" i="1"/>
  <c r="I7" i="1"/>
  <c r="J13" i="1"/>
  <c r="H13" i="1"/>
  <c r="I9" i="1"/>
  <c r="I8" i="1"/>
  <c r="I6" i="1"/>
  <c r="D16" i="1"/>
  <c r="E16" i="1"/>
  <c r="I5" i="1" s="1"/>
  <c r="F16" i="1"/>
  <c r="C16" i="1"/>
  <c r="G15" i="4"/>
  <c r="F15" i="4"/>
  <c r="E15" i="4"/>
  <c r="D15" i="4"/>
  <c r="J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<sst xmlns="http://schemas.openxmlformats.org/spreadsheetml/2006/main" count="98" uniqueCount="81">
  <si>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</si>
  <si>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</si>
  <si>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</si>
  <si>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</si>
  <si>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</si>
  <si>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</si>
  <si>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</si>
  <si>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</si>
  <si>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</si>
  <si>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</si>
  <si>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</si>
  <si>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</si>
  <si>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</si>
  <si>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 xml:space="preserve">Navigating Excel: workbooks, worksheets, cells, rows, and columns </t>
  </si>
  <si>
    <t>Essential formulas and functions PRT I</t>
  </si>
  <si>
    <t>DAY 1 OBJECTIVES B</t>
  </si>
  <si>
    <t>SUM</t>
  </si>
  <si>
    <t>AVERAGE</t>
  </si>
  <si>
    <t>COUNT</t>
  </si>
  <si>
    <t>MAX</t>
  </si>
  <si>
    <t>MIN</t>
  </si>
  <si>
    <t>Student</t>
  </si>
  <si>
    <t>Test Score</t>
  </si>
  <si>
    <t xml:space="preserve">No. of Students </t>
  </si>
  <si>
    <t>Deb Ashby</t>
  </si>
  <si>
    <t>Adam Lacey</t>
  </si>
  <si>
    <t>Jane Doe</t>
  </si>
  <si>
    <t>Harry Potter</t>
  </si>
  <si>
    <t>Susie Smith</t>
  </si>
  <si>
    <t>Olivia Carter</t>
  </si>
  <si>
    <t>Brian Mallory</t>
  </si>
  <si>
    <t>Jasmine Dekker</t>
  </si>
  <si>
    <t>Minh Sia</t>
  </si>
  <si>
    <t>Lucy Jones</t>
  </si>
  <si>
    <t>Mark Baxter</t>
  </si>
  <si>
    <t>Tony Chamberlain</t>
  </si>
  <si>
    <t>Count and Large Functions</t>
  </si>
  <si>
    <t>Introduction fo Number Functions</t>
  </si>
  <si>
    <t>Total Sales</t>
  </si>
  <si>
    <t>Total Dec</t>
  </si>
  <si>
    <t>Total Q2</t>
  </si>
  <si>
    <t>Doodles</t>
  </si>
  <si>
    <t>Art Attack</t>
  </si>
  <si>
    <t>J Howard and Sons</t>
  </si>
  <si>
    <t>Painterly</t>
  </si>
  <si>
    <t>Waterstones</t>
  </si>
  <si>
    <t>The Desinger Centre</t>
  </si>
  <si>
    <t>Sketch &amp; Co</t>
  </si>
  <si>
    <t>Color Me Silly</t>
  </si>
  <si>
    <t>Pens and Things</t>
  </si>
  <si>
    <t>Crafty Business</t>
  </si>
  <si>
    <t>Brush Strokes</t>
  </si>
  <si>
    <t>Maximum Sales</t>
  </si>
  <si>
    <t>The Art Supply Store</t>
  </si>
  <si>
    <t>Minimum Sales</t>
  </si>
  <si>
    <t>WH Smith</t>
  </si>
  <si>
    <t>No. of Orders</t>
  </si>
  <si>
    <t>Staples</t>
  </si>
  <si>
    <t>Average Quantity</t>
  </si>
  <si>
    <t>Price Per Unit</t>
  </si>
  <si>
    <t>Quantity</t>
  </si>
  <si>
    <t>Customer</t>
  </si>
  <si>
    <t>Order #</t>
  </si>
  <si>
    <t xml:space="preserve">COUNT </t>
  </si>
  <si>
    <t>COUNTA</t>
  </si>
  <si>
    <t>LARGE</t>
  </si>
  <si>
    <t>SMALL</t>
  </si>
  <si>
    <t>ctrl +shift _+direction</t>
  </si>
  <si>
    <t>Select all</t>
  </si>
  <si>
    <t>Shift + direction</t>
  </si>
  <si>
    <t>one per time</t>
  </si>
  <si>
    <t>Number of Customers</t>
  </si>
  <si>
    <t>SUM IF</t>
  </si>
  <si>
    <t>Mark Bonus</t>
  </si>
  <si>
    <t>Nesting Function</t>
  </si>
  <si>
    <t>Total scores &gt; 70</t>
  </si>
  <si>
    <t>Total Scores =100</t>
  </si>
  <si>
    <t>Total of scores btw 70 and 80</t>
  </si>
  <si>
    <t>Students scoring above 70</t>
  </si>
  <si>
    <t>Students scoring exactly 100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</si>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</sst>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&quot;£&quot;* #,##0.00_-;\-&quot;£&quot;* #,##0.00_-;_-&quot;£&quot;* &quot;-&quot;??_-;_-@_-"/>
    <numFmt numFmtId="166" formatCode="_(* #,##0_);_(* \(#,##0\);_(* &quot;-&quot;??_);_(@_)"/>
    <numFmt numFmtId="167" formatCode="[$-F400]h:mm:ss\ AM/PM"/>
    <numFmt numFmtId="169" formatCode="_-[$€-2]\ * #,##0.00_-;\-[$€-2]\ * #,##0.00_-;_-[$€-2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Algerian"/>
      <family val="5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9" tint="-0.24997711111789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theme="9" tint="-0.249977111117893"/>
      </left>
      <right style="medium">
        <color theme="9" tint="-0.249977111117893"/>
      </right>
      <top/>
      <bottom/>
      <diagonal/>
    </border>
    <border>
      <left style="medium">
        <color theme="9" tint="-0.249977111117893"/>
      </left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1" applyNumberFormat="1" applyFont="1" applyBorder="1"/>
    <xf numFmtId="0" fontId="3" fillId="3" borderId="0" xfId="0" applyFont="1" applyFill="1"/>
    <xf numFmtId="0" fontId="0" fillId="3" borderId="0" xfId="0" applyFill="1"/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6" fillId="0" borderId="5" xfId="0" applyFont="1" applyBorder="1"/>
    <xf numFmtId="0" fontId="5" fillId="0" borderId="5" xfId="0" applyFont="1" applyBorder="1"/>
    <xf numFmtId="0" fontId="0" fillId="4" borderId="5" xfId="0" applyFill="1" applyBorder="1"/>
    <xf numFmtId="0" fontId="0" fillId="0" borderId="5" xfId="0" applyBorder="1"/>
    <xf numFmtId="0" fontId="0" fillId="0" borderId="6" xfId="0" applyBorder="1" applyAlignment="1">
      <alignment horizontal="left"/>
    </xf>
    <xf numFmtId="165" fontId="0" fillId="5" borderId="7" xfId="0" applyNumberFormat="1" applyFill="1" applyBorder="1"/>
    <xf numFmtId="165" fontId="0" fillId="0" borderId="7" xfId="1" applyNumberFormat="1" applyFont="1" applyBorder="1"/>
    <xf numFmtId="166" fontId="0" fillId="0" borderId="7" xfId="2" applyNumberFormat="1" applyFont="1" applyBorder="1"/>
    <xf numFmtId="0" fontId="0" fillId="0" borderId="7" xfId="0" applyBorder="1"/>
    <xf numFmtId="0" fontId="7" fillId="6" borderId="7" xfId="0" applyFont="1" applyFill="1" applyBorder="1"/>
    <xf numFmtId="167" fontId="0" fillId="0" borderId="0" xfId="0" applyNumberFormat="1"/>
    <xf numFmtId="18" fontId="7" fillId="6" borderId="7" xfId="0" applyNumberFormat="1" applyFont="1" applyFill="1" applyBorder="1"/>
    <xf numFmtId="166" fontId="0" fillId="0" borderId="7" xfId="0" applyNumberFormat="1" applyBorder="1"/>
    <xf numFmtId="0" fontId="7" fillId="7" borderId="7" xfId="0" applyFont="1" applyFill="1" applyBorder="1"/>
    <xf numFmtId="0" fontId="5" fillId="0" borderId="0" xfId="0" applyFont="1" applyFill="1" applyBorder="1"/>
    <xf numFmtId="0" fontId="0" fillId="0" borderId="8" xfId="1" applyNumberFormat="1" applyFont="1" applyFill="1" applyBorder="1"/>
    <xf numFmtId="0" fontId="0" fillId="0" borderId="9" xfId="1" applyNumberFormat="1" applyFont="1" applyFill="1" applyBorder="1"/>
    <xf numFmtId="0" fontId="0" fillId="0" borderId="6" xfId="0" applyBorder="1" applyAlignment="1">
      <alignment horizontal="left"/>
    </xf>
    <xf numFmtId="0" fontId="0" fillId="0" borderId="0" xfId="1" applyNumberFormat="1" applyFont="1" applyBorder="1"/>
    <xf numFmtId="169" fontId="0" fillId="0" borderId="7" xfId="0" applyNumberFormat="1" applyBorder="1"/>
    <xf numFmtId="18" fontId="7" fillId="6" borderId="10" xfId="0" applyNumberFormat="1" applyFont="1" applyFill="1" applyBorder="1"/>
    <xf numFmtId="0" fontId="0" fillId="0" borderId="11" xfId="0" applyFill="1" applyBorder="1"/>
    <xf numFmtId="0" fontId="0" fillId="0" borderId="11" xfId="0" applyBorder="1"/>
    <xf numFmtId="0" fontId="0" fillId="0" borderId="0" xfId="0" applyBorder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</xdr:rowOff>
    </xdr:from>
    <xdr:to>
      <xdr:col>4</xdr:col>
      <xdr:colOff>238125</xdr:colOff>
      <xdr:row>4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E125DC-58D5-4A5D-B2C4-D37742D72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"/>
          <a:ext cx="2066925" cy="762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%20Text%20Fun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Text Functions"/>
      <sheetName val="Sheet1"/>
    </sheetNames>
    <sheetDataSet>
      <sheetData sheetId="0"/>
      <sheetData sheetId="1">
        <row r="17">
          <cell r="L17" t="str">
            <v>IF FUNCTION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8082-F8F8-4610-A9F6-09A1BA58E4BA}">
  <dimension ref="B5:L7"/>
  <sheetViews>
    <sheetView showGridLines="0" workbookViewId="0">
      <selection activeCell="D14" sqref="D14"/>
    </sheetView>
  </sheetViews>
  <sheetFormatPr defaultRowHeight="15" x14ac:dyDescent="0.25"/>
  <sheetData>
    <row r="5" spans="2:12" ht="21.75" x14ac:dyDescent="0.35">
      <c r="B5" s="4" t="s">
        <v>15</v>
      </c>
      <c r="C5" s="4"/>
      <c r="D5" s="4"/>
      <c r="E5" s="4"/>
      <c r="F5" s="4"/>
      <c r="G5" s="4"/>
      <c r="H5" s="5"/>
      <c r="I5" s="5"/>
      <c r="J5" s="5"/>
      <c r="K5" s="5"/>
      <c r="L5" s="5"/>
    </row>
    <row r="6" spans="2:12" ht="21.75" x14ac:dyDescent="0.25">
      <c r="B6" s="6" t="s">
        <v>13</v>
      </c>
      <c r="C6" s="6"/>
      <c r="D6" s="6"/>
      <c r="E6" s="6"/>
      <c r="F6" s="6"/>
      <c r="G6" s="6"/>
      <c r="H6" s="7"/>
      <c r="I6" s="7"/>
      <c r="J6" s="5"/>
      <c r="K6" s="5"/>
      <c r="L6" s="5"/>
    </row>
    <row r="7" spans="2:12" ht="21.75" x14ac:dyDescent="0.25">
      <c r="B7" s="6" t="s">
        <v>14</v>
      </c>
      <c r="C7" s="6"/>
      <c r="D7" s="6"/>
      <c r="E7" s="6"/>
      <c r="F7" s="6"/>
      <c r="G7" s="6"/>
      <c r="H7" s="8"/>
      <c r="I7" s="8"/>
      <c r="J7" s="5"/>
      <c r="K7" s="5"/>
      <c r="L7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M49"/>
  <sheetViews>
    <sheetView zoomScale="124" zoomScaleNormal="124" workbookViewId="0">
      <selection activeCell="J12" sqref="J12"/>
    </sheetView>
  </sheetViews>
  <sheetFormatPr defaultRowHeight="15" x14ac:dyDescent="0.25"/>
  <cols>
    <col min="3" max="3" width="11.28515625" bestFit="1" customWidth="1"/>
    <col min="4" max="4" width="13.7109375" customWidth="1"/>
    <col min="5" max="6" width="15.28515625" customWidth="1"/>
    <col min="8" max="8" width="16.5703125" bestFit="1" customWidth="1"/>
    <col min="9" max="9" width="12.28515625" bestFit="1" customWidth="1"/>
    <col min="10" max="10" width="20" bestFit="1" customWidth="1"/>
  </cols>
  <sheetData>
    <row r="1" spans="2:13" ht="15.75" thickBot="1" x14ac:dyDescent="0.3">
      <c r="B1" s="29" t="s">
        <v>37</v>
      </c>
      <c r="C1" s="29"/>
      <c r="D1" s="29"/>
      <c r="E1" s="29"/>
    </row>
    <row r="2" spans="2:13" ht="15.75" thickBot="1" x14ac:dyDescent="0.3">
      <c r="B2" s="16"/>
      <c r="C2" s="16"/>
      <c r="D2" s="16"/>
      <c r="E2" s="16"/>
    </row>
    <row r="3" spans="2:13" ht="15.75" thickBot="1" x14ac:dyDescent="0.3">
      <c r="B3" s="1"/>
      <c r="C3" s="2">
        <v>2021</v>
      </c>
      <c r="D3" s="2">
        <v>2020</v>
      </c>
      <c r="E3" s="2">
        <v>2019</v>
      </c>
      <c r="F3" s="2">
        <v>2018</v>
      </c>
      <c r="J3" t="s">
        <v>67</v>
      </c>
      <c r="K3" t="s">
        <v>68</v>
      </c>
    </row>
    <row r="4" spans="2:13" ht="15.75" thickBot="1" x14ac:dyDescent="0.3">
      <c r="B4" s="2" t="s">
        <v>0</v>
      </c>
      <c r="C4" s="3">
        <v>4255</v>
      </c>
      <c r="D4" s="3">
        <v>4096</v>
      </c>
      <c r="E4" s="3">
        <v>3151</v>
      </c>
      <c r="F4" s="3">
        <v>3848</v>
      </c>
      <c r="J4" t="s">
        <v>69</v>
      </c>
      <c r="K4" t="s">
        <v>70</v>
      </c>
      <c r="M4">
        <v>2</v>
      </c>
    </row>
    <row r="5" spans="2:13" ht="15.75" thickBot="1" x14ac:dyDescent="0.3">
      <c r="B5" s="2" t="s">
        <v>1</v>
      </c>
      <c r="C5" s="3">
        <v>4382</v>
      </c>
      <c r="D5" s="3">
        <v>5271</v>
      </c>
      <c r="E5" s="3">
        <v>5712</v>
      </c>
      <c r="F5" s="3">
        <v>3740</v>
      </c>
      <c r="H5" s="12" t="s">
        <v>16</v>
      </c>
      <c r="I5" s="9">
        <f>SUM(C16:F16)</f>
        <v>214229</v>
      </c>
      <c r="M5">
        <v>3</v>
      </c>
    </row>
    <row r="6" spans="2:13" ht="16.5" thickBot="1" x14ac:dyDescent="0.3">
      <c r="B6" s="2" t="s">
        <v>2</v>
      </c>
      <c r="C6" s="3">
        <v>4594</v>
      </c>
      <c r="D6" s="3">
        <v>4321</v>
      </c>
      <c r="E6" s="3">
        <v>3181</v>
      </c>
      <c r="F6" s="3">
        <v>5351</v>
      </c>
      <c r="H6" s="13" t="s">
        <v>17</v>
      </c>
      <c r="I6" s="10">
        <f>AVERAGE(C16:F16)</f>
        <v>53557.25</v>
      </c>
      <c r="K6">
        <f>MAX(M4:M8)</f>
        <v>5</v>
      </c>
      <c r="M6">
        <v>5</v>
      </c>
    </row>
    <row r="7" spans="2:13" ht="16.5" thickBot="1" x14ac:dyDescent="0.3">
      <c r="B7" s="2" t="s">
        <v>3</v>
      </c>
      <c r="C7" s="3">
        <v>4313</v>
      </c>
      <c r="D7" s="3">
        <v>4329</v>
      </c>
      <c r="E7" s="3">
        <v>3693</v>
      </c>
      <c r="F7" s="3">
        <v>5663</v>
      </c>
      <c r="H7" s="13" t="s">
        <v>18</v>
      </c>
      <c r="I7" s="10">
        <f>COUNTA(B4:B15)</f>
        <v>12</v>
      </c>
      <c r="K7" t="s">
        <v>65</v>
      </c>
      <c r="L7">
        <f>LARGE(M4:M8,2)</f>
        <v>4</v>
      </c>
      <c r="M7">
        <v>4</v>
      </c>
    </row>
    <row r="8" spans="2:13" ht="16.5" thickBot="1" x14ac:dyDescent="0.3">
      <c r="B8" s="2" t="s">
        <v>4</v>
      </c>
      <c r="C8" s="3">
        <v>4382</v>
      </c>
      <c r="D8" s="3">
        <v>3442</v>
      </c>
      <c r="E8" s="3">
        <v>5956</v>
      </c>
      <c r="F8" s="3">
        <v>4748</v>
      </c>
      <c r="H8" s="13" t="s">
        <v>19</v>
      </c>
      <c r="I8" s="10">
        <f>MAX(C16:F16)</f>
        <v>56449</v>
      </c>
      <c r="K8" t="s">
        <v>66</v>
      </c>
      <c r="L8">
        <f>SMALL(M4:M8, 2)</f>
        <v>2</v>
      </c>
      <c r="M8">
        <v>2</v>
      </c>
    </row>
    <row r="9" spans="2:13" ht="16.5" thickBot="1" x14ac:dyDescent="0.3">
      <c r="B9" s="2" t="s">
        <v>5</v>
      </c>
      <c r="C9" s="3">
        <v>5316</v>
      </c>
      <c r="D9" s="3">
        <v>4315</v>
      </c>
      <c r="E9" s="3">
        <v>4410</v>
      </c>
      <c r="F9" s="3">
        <v>3648</v>
      </c>
      <c r="H9" s="13" t="s">
        <v>20</v>
      </c>
      <c r="I9" s="11">
        <f>MIN(C16:F16)</f>
        <v>50370</v>
      </c>
      <c r="K9" t="s">
        <v>20</v>
      </c>
    </row>
    <row r="10" spans="2:13" ht="15.75" thickBot="1" x14ac:dyDescent="0.3">
      <c r="B10" s="2" t="s">
        <v>6</v>
      </c>
      <c r="C10" s="3">
        <v>4482</v>
      </c>
      <c r="D10" s="3">
        <v>3751</v>
      </c>
      <c r="E10" s="3">
        <v>4935</v>
      </c>
      <c r="F10" s="3">
        <v>4817</v>
      </c>
    </row>
    <row r="11" spans="2:13" ht="15.75" thickBot="1" x14ac:dyDescent="0.3">
      <c r="B11" s="2" t="s">
        <v>7</v>
      </c>
      <c r="C11" s="3">
        <v>5198</v>
      </c>
      <c r="D11" s="3">
        <v>3347</v>
      </c>
      <c r="E11" s="3">
        <v>4519</v>
      </c>
      <c r="F11" s="3">
        <v>4047</v>
      </c>
      <c r="G11" s="27">
        <v>1</v>
      </c>
    </row>
    <row r="12" spans="2:13" ht="16.5" thickBot="1" x14ac:dyDescent="0.3">
      <c r="B12" s="2" t="s">
        <v>8</v>
      </c>
      <c r="C12" s="3">
        <v>5781</v>
      </c>
      <c r="D12" s="3">
        <v>3886</v>
      </c>
      <c r="E12" s="3">
        <v>3835</v>
      </c>
      <c r="F12" s="3">
        <v>5898</v>
      </c>
      <c r="G12" s="27">
        <v>2</v>
      </c>
      <c r="H12" s="26" t="s">
        <v>63</v>
      </c>
      <c r="J12" t="s">
        <v>64</v>
      </c>
    </row>
    <row r="13" spans="2:13" ht="15.75" thickBot="1" x14ac:dyDescent="0.3">
      <c r="B13" s="2" t="s">
        <v>9</v>
      </c>
      <c r="C13" s="3">
        <v>4083</v>
      </c>
      <c r="D13" s="3">
        <v>5898</v>
      </c>
      <c r="E13" s="3">
        <v>5450</v>
      </c>
      <c r="F13" s="3">
        <v>3236</v>
      </c>
      <c r="G13" s="27">
        <v>3</v>
      </c>
      <c r="H13">
        <f>COUNT(G11:G14)</f>
        <v>4</v>
      </c>
      <c r="J13">
        <f>COUNTA(G11:G14)</f>
        <v>4</v>
      </c>
    </row>
    <row r="14" spans="2:13" ht="15.75" thickBot="1" x14ac:dyDescent="0.3">
      <c r="B14" s="2" t="s">
        <v>10</v>
      </c>
      <c r="C14" s="3">
        <v>5705</v>
      </c>
      <c r="D14" s="3">
        <v>3017</v>
      </c>
      <c r="E14" s="3">
        <v>3724</v>
      </c>
      <c r="F14" s="3">
        <v>4632</v>
      </c>
      <c r="G14" s="28">
        <v>4</v>
      </c>
    </row>
    <row r="15" spans="2:13" ht="15.75" thickBot="1" x14ac:dyDescent="0.3">
      <c r="B15" s="2" t="s">
        <v>11</v>
      </c>
      <c r="C15" s="3">
        <v>3958</v>
      </c>
      <c r="D15" s="3">
        <v>4697</v>
      </c>
      <c r="E15" s="3">
        <v>5944</v>
      </c>
      <c r="F15" s="3">
        <v>3272</v>
      </c>
    </row>
    <row r="16" spans="2:13" ht="15.75" thickBot="1" x14ac:dyDescent="0.3">
      <c r="B16" s="2" t="s">
        <v>12</v>
      </c>
      <c r="C16" s="3">
        <f>SUM(C4:C15)</f>
        <v>56449</v>
      </c>
      <c r="D16" s="3">
        <f t="shared" ref="D16:F16" si="0">SUM(D4:D15)</f>
        <v>50370</v>
      </c>
      <c r="E16" s="3">
        <f t="shared" si="0"/>
        <v>54510</v>
      </c>
      <c r="F16" s="3">
        <f t="shared" si="0"/>
        <v>52900</v>
      </c>
    </row>
    <row r="20" spans="2:9" x14ac:dyDescent="0.25">
      <c r="B20" s="25" t="s">
        <v>62</v>
      </c>
      <c r="C20" s="21" t="s">
        <v>61</v>
      </c>
      <c r="D20" s="21" t="s">
        <v>60</v>
      </c>
      <c r="E20" s="23" t="s">
        <v>59</v>
      </c>
      <c r="F20" s="23" t="s">
        <v>12</v>
      </c>
      <c r="H20" s="23" t="s">
        <v>58</v>
      </c>
      <c r="I20" s="31">
        <f>AVERAGE(F21:F34)</f>
        <v>6814.6642857142879</v>
      </c>
    </row>
    <row r="21" spans="2:9" x14ac:dyDescent="0.25">
      <c r="B21" s="21">
        <v>3211</v>
      </c>
      <c r="C21" s="20" t="s">
        <v>57</v>
      </c>
      <c r="D21" s="19">
        <v>27095</v>
      </c>
      <c r="E21" s="18">
        <v>0.2</v>
      </c>
      <c r="F21" s="17">
        <f>D21*E21</f>
        <v>5419</v>
      </c>
      <c r="H21" s="23" t="s">
        <v>56</v>
      </c>
      <c r="I21" s="24">
        <f>SUM(D21:D34)</f>
        <v>496450</v>
      </c>
    </row>
    <row r="22" spans="2:9" x14ac:dyDescent="0.25">
      <c r="B22" s="21">
        <v>2955</v>
      </c>
      <c r="C22" s="20" t="s">
        <v>55</v>
      </c>
      <c r="D22" s="19">
        <v>48696</v>
      </c>
      <c r="E22" s="18">
        <v>0.15</v>
      </c>
      <c r="F22" s="17">
        <f t="shared" ref="F22:F34" si="1">D22*E22</f>
        <v>7304.4</v>
      </c>
      <c r="H22" s="23" t="s">
        <v>54</v>
      </c>
      <c r="I22" s="31">
        <f>MIN(F21:F34)</f>
        <v>3133.4</v>
      </c>
    </row>
    <row r="23" spans="2:9" x14ac:dyDescent="0.25">
      <c r="B23" s="21">
        <v>3159</v>
      </c>
      <c r="C23" s="20" t="s">
        <v>53</v>
      </c>
      <c r="D23" s="19">
        <v>29970</v>
      </c>
      <c r="E23" s="18">
        <v>0.25</v>
      </c>
      <c r="F23" s="17">
        <f t="shared" si="1"/>
        <v>7492.5</v>
      </c>
      <c r="H23" s="23" t="s">
        <v>52</v>
      </c>
      <c r="I23" s="31">
        <f>MAX(F21:F34)</f>
        <v>9400.6</v>
      </c>
    </row>
    <row r="24" spans="2:9" x14ac:dyDescent="0.25">
      <c r="B24" s="21">
        <v>3004</v>
      </c>
      <c r="C24" s="20" t="s">
        <v>51</v>
      </c>
      <c r="D24" s="19">
        <v>15667</v>
      </c>
      <c r="E24" s="18">
        <v>0.2</v>
      </c>
      <c r="F24" s="17">
        <f t="shared" si="1"/>
        <v>3133.4</v>
      </c>
      <c r="H24" s="23" t="s">
        <v>38</v>
      </c>
      <c r="I24" s="31">
        <f>SUM(F21:F34)</f>
        <v>95405.300000000032</v>
      </c>
    </row>
    <row r="25" spans="2:9" x14ac:dyDescent="0.25">
      <c r="B25" s="21">
        <v>4534</v>
      </c>
      <c r="C25" s="20" t="s">
        <v>50</v>
      </c>
      <c r="D25" s="19">
        <v>46321</v>
      </c>
      <c r="E25" s="18">
        <v>0.2</v>
      </c>
      <c r="F25" s="17">
        <f t="shared" si="1"/>
        <v>9264.2000000000007</v>
      </c>
      <c r="H25" s="32" t="s">
        <v>71</v>
      </c>
      <c r="I25">
        <f>COUNTA(C21:C34)</f>
        <v>14</v>
      </c>
    </row>
    <row r="26" spans="2:9" x14ac:dyDescent="0.25">
      <c r="B26" s="21">
        <v>2220</v>
      </c>
      <c r="C26" s="20" t="s">
        <v>49</v>
      </c>
      <c r="D26" s="19">
        <v>47003</v>
      </c>
      <c r="E26" s="18">
        <v>0.2</v>
      </c>
      <c r="F26" s="17">
        <f t="shared" si="1"/>
        <v>9400.6</v>
      </c>
    </row>
    <row r="27" spans="2:9" x14ac:dyDescent="0.25">
      <c r="B27" s="21">
        <v>1796</v>
      </c>
      <c r="C27" s="20" t="s">
        <v>48</v>
      </c>
      <c r="D27" s="19">
        <v>41595</v>
      </c>
      <c r="E27" s="18">
        <v>0.2</v>
      </c>
      <c r="F27" s="17">
        <f t="shared" si="1"/>
        <v>8319</v>
      </c>
    </row>
    <row r="28" spans="2:9" x14ac:dyDescent="0.25">
      <c r="B28" s="21">
        <v>3558</v>
      </c>
      <c r="C28" s="20" t="s">
        <v>47</v>
      </c>
      <c r="D28" s="19">
        <v>41552</v>
      </c>
      <c r="E28" s="18">
        <v>0.2</v>
      </c>
      <c r="F28" s="17">
        <f t="shared" si="1"/>
        <v>8310.4</v>
      </c>
    </row>
    <row r="29" spans="2:9" x14ac:dyDescent="0.25">
      <c r="B29" s="21">
        <v>1437</v>
      </c>
      <c r="C29" s="20" t="s">
        <v>46</v>
      </c>
      <c r="D29" s="19">
        <v>23299</v>
      </c>
      <c r="E29" s="18">
        <v>0.3</v>
      </c>
      <c r="F29" s="17">
        <f t="shared" si="1"/>
        <v>6989.7</v>
      </c>
    </row>
    <row r="30" spans="2:9" x14ac:dyDescent="0.25">
      <c r="B30" s="21">
        <v>1336</v>
      </c>
      <c r="C30" s="20" t="s">
        <v>45</v>
      </c>
      <c r="D30" s="19">
        <v>34014</v>
      </c>
      <c r="E30" s="18">
        <v>0.15</v>
      </c>
      <c r="F30" s="17">
        <f t="shared" si="1"/>
        <v>5102.0999999999995</v>
      </c>
    </row>
    <row r="31" spans="2:9" x14ac:dyDescent="0.25">
      <c r="B31" s="21">
        <v>2044</v>
      </c>
      <c r="C31" s="20" t="s">
        <v>44</v>
      </c>
      <c r="D31" s="19">
        <v>43247</v>
      </c>
      <c r="E31" s="18">
        <v>0.15</v>
      </c>
      <c r="F31" s="17">
        <f t="shared" si="1"/>
        <v>6487.05</v>
      </c>
    </row>
    <row r="32" spans="2:9" x14ac:dyDescent="0.25">
      <c r="B32" s="21">
        <v>3320</v>
      </c>
      <c r="C32" s="20" t="s">
        <v>43</v>
      </c>
      <c r="D32" s="19">
        <v>28305</v>
      </c>
      <c r="E32" s="18">
        <v>0.15</v>
      </c>
      <c r="F32" s="17">
        <f t="shared" si="1"/>
        <v>4245.75</v>
      </c>
    </row>
    <row r="33" spans="2:9" x14ac:dyDescent="0.25">
      <c r="B33" s="21">
        <v>1534</v>
      </c>
      <c r="C33" s="20" t="s">
        <v>42</v>
      </c>
      <c r="D33" s="19">
        <v>39218</v>
      </c>
      <c r="E33" s="18">
        <v>0.2</v>
      </c>
      <c r="F33" s="17">
        <f t="shared" si="1"/>
        <v>7843.6</v>
      </c>
      <c r="I33" s="22"/>
    </row>
    <row r="34" spans="2:9" x14ac:dyDescent="0.25">
      <c r="B34" s="21">
        <v>3989</v>
      </c>
      <c r="C34" s="20" t="s">
        <v>41</v>
      </c>
      <c r="D34" s="19">
        <v>30468</v>
      </c>
      <c r="E34" s="18">
        <v>0.2</v>
      </c>
      <c r="F34" s="17">
        <f t="shared" si="1"/>
        <v>6093.6</v>
      </c>
    </row>
    <row r="38" spans="2:9" x14ac:dyDescent="0.25">
      <c r="F38" s="30"/>
    </row>
    <row r="39" spans="2:9" x14ac:dyDescent="0.25">
      <c r="F39" s="30"/>
    </row>
    <row r="40" spans="2:9" x14ac:dyDescent="0.25">
      <c r="F40" s="30"/>
    </row>
    <row r="41" spans="2:9" x14ac:dyDescent="0.25">
      <c r="F41" s="30"/>
    </row>
    <row r="42" spans="2:9" x14ac:dyDescent="0.25">
      <c r="F42" s="30"/>
    </row>
    <row r="43" spans="2:9" x14ac:dyDescent="0.25">
      <c r="F43" s="30"/>
    </row>
    <row r="44" spans="2:9" x14ac:dyDescent="0.25">
      <c r="F44" s="30"/>
    </row>
    <row r="45" spans="2:9" x14ac:dyDescent="0.25">
      <c r="F45" s="30"/>
    </row>
    <row r="46" spans="2:9" x14ac:dyDescent="0.25">
      <c r="F46" s="30"/>
    </row>
    <row r="47" spans="2:9" x14ac:dyDescent="0.25">
      <c r="F47" s="30"/>
    </row>
    <row r="48" spans="2:9" x14ac:dyDescent="0.25">
      <c r="F48" s="30"/>
    </row>
    <row r="49" spans="6:6" x14ac:dyDescent="0.25">
      <c r="F49" s="30"/>
    </row>
  </sheetData>
  <mergeCells count="1">
    <mergeCell ref="B1:E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4F53-C792-48D0-9D69-008F6826A84A}">
  <dimension ref="C1:O21"/>
  <sheetViews>
    <sheetView tabSelected="1" workbookViewId="0">
      <selection activeCell="G18" sqref="G18"/>
    </sheetView>
  </sheetViews>
  <sheetFormatPr defaultRowHeight="15" x14ac:dyDescent="0.25"/>
  <cols>
    <col min="3" max="3" width="17.28515625" bestFit="1" customWidth="1"/>
    <col min="4" max="4" width="10" bestFit="1" customWidth="1"/>
    <col min="7" max="7" width="26.7109375" bestFit="1" customWidth="1"/>
    <col min="14" max="14" width="10.28515625" bestFit="1" customWidth="1"/>
  </cols>
  <sheetData>
    <row r="1" spans="3:15" x14ac:dyDescent="0.25">
      <c r="C1" t="s">
        <v>36</v>
      </c>
    </row>
    <row r="2" spans="3:15" x14ac:dyDescent="0.25">
      <c r="L2" t="s">
        <v>72</v>
      </c>
      <c r="N2" t="s">
        <v>73</v>
      </c>
      <c r="O2">
        <v>5</v>
      </c>
    </row>
    <row r="3" spans="3:15" x14ac:dyDescent="0.25">
      <c r="C3" s="14" t="s">
        <v>21</v>
      </c>
      <c r="D3" s="14" t="s">
        <v>22</v>
      </c>
      <c r="E3" t="s">
        <v>80</v>
      </c>
      <c r="G3" s="14" t="s">
        <v>23</v>
      </c>
      <c r="H3" s="15">
        <f>COUNTA(C4:C16)</f>
        <v>13</v>
      </c>
    </row>
    <row r="4" spans="3:15" x14ac:dyDescent="0.25">
      <c r="C4" s="15" t="s">
        <v>24</v>
      </c>
      <c r="D4" s="15">
        <v>80</v>
      </c>
      <c r="E4" t="str">
        <f>IF(D4&gt;60, "Pass", "Fail")</f>
        <v>Pass</v>
      </c>
      <c r="N4" t="str" cm="1">
        <f t="array" ref="N4:N16">IF(COUNTIF(C4:C16,C4:C16)&gt;1, "Duplicate", "Unique")</f>
        <v>Unique</v>
      </c>
    </row>
    <row r="5" spans="3:15" x14ac:dyDescent="0.25">
      <c r="C5" s="15" t="s">
        <v>25</v>
      </c>
      <c r="D5" s="15">
        <v>95</v>
      </c>
      <c r="E5" t="str">
        <f t="shared" ref="E5:E16" si="0">IF(D5&gt;60, "Pass", "Fail")</f>
        <v>Pass</v>
      </c>
      <c r="G5" t="str">
        <f>IF(D4&gt;70, "A", IF(D4&gt;=60, "B", IF(D4&gt;=50, "C", "F")))</f>
        <v>A</v>
      </c>
      <c r="N5" t="str">
        <v>Unique</v>
      </c>
    </row>
    <row r="6" spans="3:15" x14ac:dyDescent="0.25">
      <c r="C6" s="15" t="s">
        <v>26</v>
      </c>
      <c r="D6" s="15">
        <v>100</v>
      </c>
      <c r="E6" t="str">
        <f t="shared" si="0"/>
        <v>Pass</v>
      </c>
      <c r="G6" t="str">
        <f t="shared" ref="G6:G10" si="1">IF(D5&gt;70, "A", IF(D5&gt;=60, "B", IF(D5&gt;=50, "C", "F")))</f>
        <v>A</v>
      </c>
      <c r="N6" t="str">
        <v>Duplicate</v>
      </c>
    </row>
    <row r="7" spans="3:15" x14ac:dyDescent="0.25">
      <c r="C7" s="15" t="s">
        <v>27</v>
      </c>
      <c r="D7" s="15">
        <v>75</v>
      </c>
      <c r="E7" t="str">
        <f t="shared" si="0"/>
        <v>Pass</v>
      </c>
      <c r="G7" t="str">
        <f t="shared" si="1"/>
        <v>A</v>
      </c>
      <c r="N7" t="str">
        <v>Unique</v>
      </c>
    </row>
    <row r="8" spans="3:15" x14ac:dyDescent="0.25">
      <c r="C8" s="15" t="s">
        <v>28</v>
      </c>
      <c r="D8" s="15">
        <v>87</v>
      </c>
      <c r="E8" t="str">
        <f t="shared" si="0"/>
        <v>Pass</v>
      </c>
      <c r="G8" t="str">
        <f t="shared" si="1"/>
        <v>A</v>
      </c>
      <c r="H8" t="s">
        <v>74</v>
      </c>
      <c r="N8" t="str">
        <v>Unique</v>
      </c>
    </row>
    <row r="9" spans="3:15" x14ac:dyDescent="0.25">
      <c r="C9" s="15" t="s">
        <v>29</v>
      </c>
      <c r="D9" s="15">
        <v>45</v>
      </c>
      <c r="E9" t="str">
        <f t="shared" si="0"/>
        <v>Fail</v>
      </c>
      <c r="G9" t="str">
        <f t="shared" si="1"/>
        <v>A</v>
      </c>
      <c r="L9" t="e" cm="1">
        <f t="array" aca="1" ref="L9" ca="1">'[1]Text Functions'!$L$17()</f>
        <v>#REF!</v>
      </c>
      <c r="N9" t="str">
        <v>Unique</v>
      </c>
    </row>
    <row r="10" spans="3:15" x14ac:dyDescent="0.25">
      <c r="C10" s="15" t="s">
        <v>30</v>
      </c>
      <c r="D10" s="15">
        <v>40</v>
      </c>
      <c r="E10" t="str">
        <f t="shared" si="0"/>
        <v>Fail</v>
      </c>
      <c r="G10" t="str">
        <f t="shared" si="1"/>
        <v>F</v>
      </c>
      <c r="N10" t="str">
        <v>Unique</v>
      </c>
    </row>
    <row r="11" spans="3:15" x14ac:dyDescent="0.25">
      <c r="C11" s="15" t="s">
        <v>31</v>
      </c>
      <c r="D11" s="15">
        <v>65</v>
      </c>
      <c r="E11" t="str">
        <f t="shared" si="0"/>
        <v>Pass</v>
      </c>
      <c r="J11">
        <f>COUNTIF(C4:C16, "Jane Doe")</f>
        <v>2</v>
      </c>
      <c r="N11" t="str">
        <v>Unique</v>
      </c>
    </row>
    <row r="12" spans="3:15" x14ac:dyDescent="0.25">
      <c r="C12" s="15" t="s">
        <v>32</v>
      </c>
      <c r="D12" s="15">
        <v>72</v>
      </c>
      <c r="E12" t="str">
        <f t="shared" si="0"/>
        <v>Pass</v>
      </c>
      <c r="G12" t="s">
        <v>78</v>
      </c>
      <c r="H12">
        <f>COUNTIF(D4:D16, "&gt;70")</f>
        <v>9</v>
      </c>
      <c r="N12" t="str">
        <v>Unique</v>
      </c>
    </row>
    <row r="13" spans="3:15" x14ac:dyDescent="0.25">
      <c r="C13" s="15" t="s">
        <v>33</v>
      </c>
      <c r="D13" s="15">
        <v>75</v>
      </c>
      <c r="E13" t="str">
        <f t="shared" si="0"/>
        <v>Pass</v>
      </c>
      <c r="G13" t="s">
        <v>79</v>
      </c>
      <c r="H13">
        <f>COUNTIF(D4:D16, "100")</f>
        <v>2</v>
      </c>
      <c r="N13" t="str">
        <v>Unique</v>
      </c>
    </row>
    <row r="14" spans="3:15" x14ac:dyDescent="0.25">
      <c r="C14" s="15" t="s">
        <v>34</v>
      </c>
      <c r="D14" s="15">
        <v>96</v>
      </c>
      <c r="E14" t="str">
        <f t="shared" si="0"/>
        <v>Pass</v>
      </c>
      <c r="J14">
        <f>COUNTIFS(D4:D16, 100, C4:C16, "Claire Smith")</f>
        <v>0</v>
      </c>
      <c r="N14" t="str">
        <v>Unique</v>
      </c>
    </row>
    <row r="15" spans="3:15" x14ac:dyDescent="0.25">
      <c r="C15" s="15" t="s">
        <v>26</v>
      </c>
      <c r="D15" s="15">
        <v>100</v>
      </c>
      <c r="E15" t="str">
        <f t="shared" si="0"/>
        <v>Pass</v>
      </c>
      <c r="N15" t="str">
        <v>Duplicate</v>
      </c>
    </row>
    <row r="16" spans="3:15" x14ac:dyDescent="0.25">
      <c r="C16" s="15" t="s">
        <v>35</v>
      </c>
      <c r="D16" s="15">
        <v>24</v>
      </c>
      <c r="E16" t="str">
        <f t="shared" si="0"/>
        <v>Fail</v>
      </c>
      <c r="N16" t="str">
        <v>Unique</v>
      </c>
    </row>
    <row r="17" spans="3:7" x14ac:dyDescent="0.25">
      <c r="C17" s="34"/>
      <c r="D17" s="35"/>
    </row>
    <row r="18" spans="3:7" x14ac:dyDescent="0.25">
      <c r="C18" s="33" t="s">
        <v>75</v>
      </c>
      <c r="D18">
        <f>SUMIF(D4:D16, "&gt;70")</f>
        <v>780</v>
      </c>
      <c r="G18" t="s">
        <v>77</v>
      </c>
    </row>
    <row r="19" spans="3:7" x14ac:dyDescent="0.25">
      <c r="C19" s="33" t="s">
        <v>76</v>
      </c>
      <c r="D19">
        <f>SUMIF(D4:D16, 100)</f>
        <v>200</v>
      </c>
      <c r="G19">
        <f>SUMIFS(D4:D16,D4:D16,"&gt;=70",D4:D16,"&lt;90")</f>
        <v>389</v>
      </c>
    </row>
    <row r="21" spans="3:7" x14ac:dyDescent="0.25">
      <c r="C21" t="s">
        <v>26</v>
      </c>
    </row>
  </sheetData>
  <autoFilter ref="C3:D16" xr:uid="{FAEA4F53-C792-48D0-9D69-008F6826A84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B3B3-959D-4828-B77E-30623E1A2270}">
  <dimension ref="C2:J15"/>
  <sheetViews>
    <sheetView workbookViewId="0">
      <selection activeCell="J6" sqref="J6"/>
    </sheetView>
  </sheetViews>
  <sheetFormatPr defaultRowHeight="15" x14ac:dyDescent="0.25"/>
  <cols>
    <col min="9" max="9" width="10.42578125" bestFit="1" customWidth="1"/>
  </cols>
  <sheetData>
    <row r="2" spans="3:10" ht="15.75" thickBot="1" x14ac:dyDescent="0.3"/>
    <row r="3" spans="3:10" ht="15.75" thickBot="1" x14ac:dyDescent="0.3">
      <c r="C3" s="1"/>
      <c r="D3" s="2">
        <v>2021</v>
      </c>
      <c r="E3" s="2">
        <v>2020</v>
      </c>
      <c r="F3" s="2">
        <v>2019</v>
      </c>
      <c r="G3" s="2">
        <v>2018</v>
      </c>
    </row>
    <row r="4" spans="3:10" ht="15.75" thickBot="1" x14ac:dyDescent="0.3">
      <c r="C4" s="2" t="s">
        <v>0</v>
      </c>
      <c r="D4" s="3">
        <v>4255</v>
      </c>
      <c r="E4" s="3">
        <v>4096</v>
      </c>
      <c r="F4" s="3">
        <v>3151</v>
      </c>
      <c r="G4" s="3">
        <v>3848</v>
      </c>
      <c r="I4" t="s">
        <v>38</v>
      </c>
      <c r="J4">
        <f>SUM(D15:G15)</f>
        <v>196358</v>
      </c>
    </row>
    <row r="5" spans="3:10" ht="15.75" thickBot="1" x14ac:dyDescent="0.3">
      <c r="C5" s="2" t="s">
        <v>1</v>
      </c>
      <c r="D5" s="3">
        <v>4382</v>
      </c>
      <c r="E5" s="3">
        <v>5271</v>
      </c>
      <c r="F5" s="3">
        <v>5712</v>
      </c>
      <c r="G5" s="3">
        <v>3740</v>
      </c>
      <c r="I5" t="s">
        <v>39</v>
      </c>
      <c r="J5" s="3" t="e">
        <f>SUM(#REF!)</f>
        <v>#REF!</v>
      </c>
    </row>
    <row r="6" spans="3:10" ht="15.75" thickBot="1" x14ac:dyDescent="0.3">
      <c r="C6" s="2" t="s">
        <v>2</v>
      </c>
      <c r="D6" s="3">
        <v>4594</v>
      </c>
      <c r="E6" s="3">
        <v>4321</v>
      </c>
      <c r="F6" s="3">
        <v>3181</v>
      </c>
      <c r="G6" s="3">
        <v>5351</v>
      </c>
      <c r="I6" t="s">
        <v>40</v>
      </c>
      <c r="J6" t="e">
        <f>1/0</f>
        <v>#DIV/0!</v>
      </c>
    </row>
    <row r="7" spans="3:10" ht="15.75" thickBot="1" x14ac:dyDescent="0.3">
      <c r="C7" s="2" t="s">
        <v>3</v>
      </c>
      <c r="D7" s="3">
        <v>4313</v>
      </c>
      <c r="E7" s="3">
        <v>4329</v>
      </c>
      <c r="F7" s="3">
        <v>3693</v>
      </c>
      <c r="G7" s="3">
        <v>5663</v>
      </c>
    </row>
    <row r="8" spans="3:10" ht="15.75" thickBot="1" x14ac:dyDescent="0.3">
      <c r="C8" s="2" t="s">
        <v>4</v>
      </c>
      <c r="D8" s="3">
        <v>4382</v>
      </c>
      <c r="E8" s="3">
        <v>3442</v>
      </c>
      <c r="F8" s="3">
        <v>5956</v>
      </c>
      <c r="G8" s="3">
        <v>4748</v>
      </c>
    </row>
    <row r="9" spans="3:10" ht="15.75" thickBot="1" x14ac:dyDescent="0.3">
      <c r="C9" s="2" t="s">
        <v>5</v>
      </c>
      <c r="D9" s="3">
        <v>5316</v>
      </c>
      <c r="E9" s="3">
        <v>4315</v>
      </c>
      <c r="F9" s="3">
        <v>4410</v>
      </c>
      <c r="G9" s="3">
        <v>3648</v>
      </c>
    </row>
    <row r="10" spans="3:10" ht="15.75" thickBot="1" x14ac:dyDescent="0.3">
      <c r="C10" s="2" t="s">
        <v>6</v>
      </c>
      <c r="D10" s="3">
        <v>4482</v>
      </c>
      <c r="E10" s="3">
        <v>3751</v>
      </c>
      <c r="F10" s="3">
        <v>4935</v>
      </c>
      <c r="G10" s="3">
        <v>4817</v>
      </c>
    </row>
    <row r="11" spans="3:10" ht="15.75" thickBot="1" x14ac:dyDescent="0.3">
      <c r="C11" s="2" t="s">
        <v>7</v>
      </c>
      <c r="D11" s="3">
        <v>5198</v>
      </c>
      <c r="E11" s="3">
        <v>3347</v>
      </c>
      <c r="F11" s="3">
        <v>4519</v>
      </c>
      <c r="G11" s="3">
        <v>4047</v>
      </c>
    </row>
    <row r="12" spans="3:10" ht="15.75" thickBot="1" x14ac:dyDescent="0.3">
      <c r="C12" s="2" t="s">
        <v>8</v>
      </c>
      <c r="D12" s="3">
        <v>5781</v>
      </c>
      <c r="E12" s="3">
        <v>3886</v>
      </c>
      <c r="F12" s="3">
        <v>3835</v>
      </c>
      <c r="G12" s="3">
        <v>5898</v>
      </c>
    </row>
    <row r="13" spans="3:10" ht="15.75" thickBot="1" x14ac:dyDescent="0.3">
      <c r="C13" s="2" t="s">
        <v>9</v>
      </c>
      <c r="D13" s="3">
        <v>4083</v>
      </c>
      <c r="E13" s="3">
        <v>5898</v>
      </c>
      <c r="F13" s="3">
        <v>5450</v>
      </c>
      <c r="G13" s="3">
        <v>3236</v>
      </c>
    </row>
    <row r="14" spans="3:10" ht="15.75" thickBot="1" x14ac:dyDescent="0.3">
      <c r="C14" s="2" t="s">
        <v>10</v>
      </c>
      <c r="D14" s="3">
        <v>5705</v>
      </c>
      <c r="E14" s="3">
        <v>3017</v>
      </c>
      <c r="F14" s="3">
        <v>3724</v>
      </c>
      <c r="G14" s="3">
        <v>4632</v>
      </c>
    </row>
    <row r="15" spans="3:10" ht="15.75" thickBot="1" x14ac:dyDescent="0.3">
      <c r="C15" s="2" t="s">
        <v>12</v>
      </c>
      <c r="D15" s="3">
        <f>SUM(D4:D14)</f>
        <v>52491</v>
      </c>
      <c r="E15" s="3">
        <f t="shared" ref="E15:G15" si="0">SUM(E4:E14)</f>
        <v>45673</v>
      </c>
      <c r="F15" s="3">
        <f t="shared" si="0"/>
        <v>48566</v>
      </c>
      <c r="G15" s="3">
        <f t="shared" si="0"/>
        <v>49628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Functions 1</vt:lpstr>
      <vt:lpstr>Count Functions</vt:lpstr>
      <vt:lpstr>Handling 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Elijah Adeniji</cp:lastModifiedBy>
  <dcterms:created xsi:type="dcterms:W3CDTF">2020-11-05T01:39:48Z</dcterms:created>
  <dcterms:modified xsi:type="dcterms:W3CDTF">2026-05-26T14:57:59Z</dcterms:modified>
</cp:coreProperties>
</file>