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giTech Classes\DigiTech Excel class\"/>
    </mc:Choice>
  </mc:AlternateContent>
  <xr:revisionPtr revIDLastSave="0" documentId="13_ncr:1_{71D1AB6D-1979-41CA-9D9B-BF1F88BB6DEB}" xr6:coauthVersionLast="47" xr6:coauthVersionMax="47" xr10:uidLastSave="{00000000-0000-0000-0000-000000000000}"/>
  <bookViews>
    <workbookView xWindow="-120" yWindow="-120" windowWidth="20730" windowHeight="11160" activeTab="2" xr2:uid="{FBD35164-CD38-4866-A1B7-2E6AA19C0E9A}"/>
  </bookViews>
  <sheets>
    <sheet name="Summary" sheetId="2" r:id="rId1"/>
    <sheet name="Date and Time" sheetId="1" r:id="rId2"/>
    <sheet name="Date Functions" sheetId="4" r:id="rId3"/>
    <sheet name="Time Functions" sheetId="5" r:id="rId4"/>
    <sheet name="Custom Date Formats" sheetId="3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M21" i="4"/>
  <c r="F13" i="3"/>
  <c r="B4" i="3"/>
  <c r="B3" i="3"/>
  <c r="B5" i="3"/>
  <c r="F11" i="3"/>
  <c r="F10" i="3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D4" i="5"/>
  <c r="C4" i="5"/>
  <c r="B4" i="5"/>
  <c r="E7" i="4"/>
  <c r="C5" i="4"/>
  <c r="I13" i="4"/>
  <c r="I3" i="4"/>
  <c r="I4" i="4"/>
  <c r="I5" i="4"/>
  <c r="I6" i="4"/>
  <c r="I7" i="4"/>
  <c r="I8" i="4"/>
  <c r="I9" i="4"/>
  <c r="I10" i="4"/>
  <c r="I11" i="4"/>
  <c r="I12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N11" i="4"/>
  <c r="N12" i="4"/>
  <c r="N13" i="4"/>
  <c r="N14" i="4"/>
  <c r="N15" i="4"/>
  <c r="N1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N3" i="4"/>
  <c r="N4" i="4"/>
  <c r="N5" i="4"/>
  <c r="N6" i="4"/>
  <c r="N7" i="4"/>
  <c r="N2" i="4"/>
  <c r="E3" i="4"/>
  <c r="E4" i="4"/>
  <c r="E5" i="4"/>
  <c r="E6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C3" i="4"/>
  <c r="C4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2" i="4"/>
  <c r="E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I17" i="1"/>
  <c r="I15" i="1"/>
  <c r="E14" i="1"/>
</calcChain>
</file>

<file path=xl/sharedStrings.xml><?xml version="1.0" encoding="utf-8"?>
<sst xmlns="http://schemas.openxmlformats.org/spreadsheetml/2006/main" count="77" uniqueCount="70">
  <si>
    <t>Short Date</t>
  </si>
  <si>
    <t>Long Date</t>
  </si>
  <si>
    <t xml:space="preserve">Time </t>
  </si>
  <si>
    <t>How Dates and Times are stored in Excel</t>
  </si>
  <si>
    <t>Fractions</t>
  </si>
  <si>
    <t>Essential formulas and functions PRT I</t>
  </si>
  <si>
    <t>DAY 2 OBJECTIVES C</t>
  </si>
  <si>
    <t>Applying Custom Date Formats</t>
  </si>
  <si>
    <t>Date:</t>
  </si>
  <si>
    <t>Time:</t>
  </si>
  <si>
    <t xml:space="preserve">Date and Time: </t>
  </si>
  <si>
    <t>Invoice Tracker</t>
  </si>
  <si>
    <t>Date</t>
  </si>
  <si>
    <t>Company</t>
  </si>
  <si>
    <t>Due Date</t>
  </si>
  <si>
    <t>Amount</t>
  </si>
  <si>
    <t>Company A</t>
  </si>
  <si>
    <t>Company B</t>
  </si>
  <si>
    <t>Company C</t>
  </si>
  <si>
    <t>Company D</t>
  </si>
  <si>
    <t>Company E</t>
  </si>
  <si>
    <t>Company F</t>
  </si>
  <si>
    <t>Company G</t>
  </si>
  <si>
    <t>Company H</t>
  </si>
  <si>
    <t>Company I</t>
  </si>
  <si>
    <t>Company J</t>
  </si>
  <si>
    <t>Company K</t>
  </si>
  <si>
    <t>Company L</t>
  </si>
  <si>
    <t>Invoice Total</t>
  </si>
  <si>
    <t>Day_Number</t>
  </si>
  <si>
    <t>Day_Name</t>
  </si>
  <si>
    <t>Month_Number</t>
  </si>
  <si>
    <t>Month_Name</t>
  </si>
  <si>
    <t>Year</t>
  </si>
  <si>
    <t>Weekday</t>
  </si>
  <si>
    <t>Is Weekend?</t>
  </si>
  <si>
    <t>Month</t>
  </si>
  <si>
    <t>Day</t>
  </si>
  <si>
    <t>Hour</t>
  </si>
  <si>
    <t>Minute</t>
  </si>
  <si>
    <t>Second</t>
  </si>
  <si>
    <t>Time</t>
  </si>
  <si>
    <t>Time Functions</t>
  </si>
  <si>
    <t>Date &amp;TIME functions</t>
  </si>
  <si>
    <t>Coding in text functions for Date</t>
  </si>
  <si>
    <t>Jan 1 1900</t>
  </si>
  <si>
    <t>Jan 2 1900</t>
  </si>
  <si>
    <t>24hr</t>
  </si>
  <si>
    <t>12hr</t>
  </si>
  <si>
    <t>6hr</t>
  </si>
  <si>
    <t>1/4'</t>
  </si>
  <si>
    <t>1/2'</t>
  </si>
  <si>
    <t>1'</t>
  </si>
  <si>
    <t>12am</t>
  </si>
  <si>
    <t>text</t>
  </si>
  <si>
    <t>Int</t>
  </si>
  <si>
    <t>MOD</t>
  </si>
  <si>
    <t>format</t>
  </si>
  <si>
    <t>code</t>
  </si>
  <si>
    <t>August</t>
  </si>
  <si>
    <t>mmmm</t>
  </si>
  <si>
    <t>Aug'</t>
  </si>
  <si>
    <t>mmm</t>
  </si>
  <si>
    <t>Wed</t>
  </si>
  <si>
    <t>ddd</t>
  </si>
  <si>
    <t>dddd</t>
  </si>
  <si>
    <t>Wednesday</t>
  </si>
  <si>
    <t>3'</t>
  </si>
  <si>
    <t>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</si>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</sst>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-F400]h:mm:ss\ AM/PM"/>
    <numFmt numFmtId="165" formatCode="_(&quot;$&quot;* #,##0_);_(&quot;$&quot;* \(#,##0\);_(&quot;$&quot;* &quot;-&quot;??_);_(@_)"/>
    <numFmt numFmtId="168" formatCode="[$-F800]dddd\,\ mmmm\ dd\,\ yyyy"/>
  </numFmts>
  <fonts count="11" x14ac:knownFonts="1">
    <font>
      <sz val="11"/>
      <color theme="1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lgerian"/>
      <family val="5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0"/>
      <name val="Arial"/>
      <family val="2"/>
    </font>
    <font>
      <b/>
      <sz val="12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NumberFormat="1"/>
    <xf numFmtId="14" fontId="0" fillId="0" borderId="0" xfId="0" applyNumberFormat="1"/>
    <xf numFmtId="0" fontId="3" fillId="0" borderId="0" xfId="0" applyFont="1" applyBorder="1" applyAlignment="1">
      <alignment vertical="center"/>
    </xf>
    <xf numFmtId="14" fontId="3" fillId="0" borderId="0" xfId="0" applyNumberFormat="1" applyFont="1" applyBorder="1" applyAlignment="1">
      <alignment vertical="center"/>
    </xf>
    <xf numFmtId="164" fontId="0" fillId="0" borderId="0" xfId="0" applyNumberFormat="1"/>
    <xf numFmtId="0" fontId="5" fillId="2" borderId="0" xfId="0" applyFont="1" applyFill="1"/>
    <xf numFmtId="0" fontId="0" fillId="2" borderId="0" xfId="0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1" xfId="0" applyFont="1" applyFill="1" applyBorder="1"/>
    <xf numFmtId="0" fontId="2" fillId="2" borderId="0" xfId="0" applyFont="1" applyFill="1" applyBorder="1"/>
    <xf numFmtId="0" fontId="3" fillId="0" borderId="0" xfId="0" applyFont="1"/>
    <xf numFmtId="0" fontId="9" fillId="0" borderId="0" xfId="0" applyFont="1"/>
    <xf numFmtId="14" fontId="0" fillId="0" borderId="2" xfId="0" applyNumberFormat="1" applyBorder="1"/>
    <xf numFmtId="0" fontId="0" fillId="0" borderId="2" xfId="0" applyBorder="1"/>
    <xf numFmtId="44" fontId="0" fillId="0" borderId="2" xfId="1" applyFont="1" applyBorder="1"/>
    <xf numFmtId="0" fontId="8" fillId="2" borderId="2" xfId="0" applyFont="1" applyFill="1" applyBorder="1"/>
    <xf numFmtId="14" fontId="4" fillId="0" borderId="3" xfId="0" applyNumberFormat="1" applyFont="1" applyBorder="1"/>
    <xf numFmtId="165" fontId="4" fillId="0" borderId="3" xfId="1" applyNumberFormat="1" applyFont="1" applyBorder="1"/>
    <xf numFmtId="0" fontId="4" fillId="4" borderId="3" xfId="0" applyFont="1" applyFill="1" applyBorder="1"/>
    <xf numFmtId="0" fontId="0" fillId="0" borderId="3" xfId="0" applyBorder="1"/>
    <xf numFmtId="14" fontId="0" fillId="4" borderId="3" xfId="0" applyNumberFormat="1" applyFill="1" applyBorder="1"/>
    <xf numFmtId="18" fontId="0" fillId="4" borderId="3" xfId="0" applyNumberFormat="1" applyFill="1" applyBorder="1"/>
    <xf numFmtId="0" fontId="2" fillId="2" borderId="3" xfId="0" applyFont="1" applyFill="1" applyBorder="1"/>
    <xf numFmtId="21" fontId="4" fillId="0" borderId="4" xfId="0" applyNumberFormat="1" applyFont="1" applyBorder="1"/>
    <xf numFmtId="0" fontId="4" fillId="4" borderId="4" xfId="0" applyFont="1" applyFill="1" applyBorder="1"/>
    <xf numFmtId="0" fontId="2" fillId="2" borderId="4" xfId="0" applyFont="1" applyFill="1" applyBorder="1"/>
    <xf numFmtId="0" fontId="10" fillId="0" borderId="0" xfId="2"/>
    <xf numFmtId="168" fontId="0" fillId="0" borderId="0" xfId="0" applyNumberFormat="1"/>
    <xf numFmtId="22" fontId="0" fillId="0" borderId="0" xfId="0" applyNumberFormat="1"/>
    <xf numFmtId="22" fontId="0" fillId="3" borderId="2" xfId="0" applyNumberFormat="1" applyFill="1" applyBorder="1"/>
    <xf numFmtId="14" fontId="0" fillId="3" borderId="2" xfId="0" applyNumberFormat="1" applyFill="1" applyBorder="1"/>
    <xf numFmtId="164" fontId="0" fillId="3" borderId="2" xfId="0" applyNumberFormat="1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9525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44056-B609-4FB4-893C-808AB22C4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0"/>
          <a:ext cx="206692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DBB2-C486-4010-96A5-12E9AA1D262C}">
  <dimension ref="B5:L7"/>
  <sheetViews>
    <sheetView workbookViewId="0">
      <selection activeCell="J20" sqref="J20"/>
    </sheetView>
  </sheetViews>
  <sheetFormatPr defaultRowHeight="14.25" x14ac:dyDescent="0.2"/>
  <sheetData>
    <row r="5" spans="2:12" ht="21.75" x14ac:dyDescent="0.35">
      <c r="B5" s="6" t="s">
        <v>6</v>
      </c>
      <c r="C5" s="6"/>
      <c r="D5" s="6"/>
      <c r="E5" s="6"/>
      <c r="F5" s="6"/>
      <c r="G5" s="6"/>
      <c r="H5" s="7"/>
      <c r="I5" s="7"/>
      <c r="J5" s="7"/>
      <c r="K5" s="7"/>
      <c r="L5" s="7"/>
    </row>
    <row r="6" spans="2:12" ht="21.75" x14ac:dyDescent="0.2">
      <c r="B6" s="8" t="s">
        <v>5</v>
      </c>
      <c r="C6" s="8"/>
      <c r="D6" s="8"/>
      <c r="E6" s="8"/>
      <c r="F6" s="8"/>
      <c r="G6" s="8"/>
      <c r="H6" s="9"/>
      <c r="I6" s="9"/>
      <c r="J6" s="7"/>
      <c r="K6" s="7"/>
      <c r="L6" s="7"/>
    </row>
    <row r="7" spans="2:12" ht="21.75" x14ac:dyDescent="0.2">
      <c r="B7" s="8" t="s">
        <v>43</v>
      </c>
      <c r="C7" s="8"/>
      <c r="D7" s="8"/>
      <c r="E7" s="8"/>
      <c r="F7" s="8"/>
      <c r="G7" s="8"/>
      <c r="H7" s="10"/>
      <c r="I7" s="10"/>
      <c r="J7" s="7"/>
      <c r="K7" s="7"/>
      <c r="L7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2D3D-6FF6-498E-B8F4-C9DD3D6F8611}">
  <dimension ref="A1:I28"/>
  <sheetViews>
    <sheetView zoomScaleNormal="100" workbookViewId="0">
      <selection activeCell="I21" sqref="I21"/>
    </sheetView>
  </sheetViews>
  <sheetFormatPr defaultRowHeight="14.25" x14ac:dyDescent="0.2"/>
  <cols>
    <col min="1" max="1" width="14.625" customWidth="1"/>
    <col min="2" max="2" width="25.75" bestFit="1" customWidth="1"/>
    <col min="3" max="3" width="20.125" customWidth="1"/>
    <col min="5" max="5" width="12.75" customWidth="1"/>
    <col min="6" max="6" width="11.125" bestFit="1" customWidth="1"/>
    <col min="7" max="7" width="10" style="2" bestFit="1" customWidth="1"/>
    <col min="8" max="8" width="11.125" style="2" bestFit="1" customWidth="1"/>
    <col min="9" max="9" width="11" style="2" bestFit="1" customWidth="1"/>
  </cols>
  <sheetData>
    <row r="1" spans="1:9" s="3" customFormat="1" ht="15.75" x14ac:dyDescent="0.2">
      <c r="A1" s="3" t="s">
        <v>3</v>
      </c>
      <c r="G1" s="4"/>
      <c r="H1" s="4"/>
      <c r="I1" s="4"/>
    </row>
    <row r="4" spans="1:9" ht="15" x14ac:dyDescent="0.25">
      <c r="A4" s="11" t="s">
        <v>0</v>
      </c>
      <c r="B4" s="11" t="s">
        <v>1</v>
      </c>
      <c r="C4" s="11" t="s">
        <v>2</v>
      </c>
      <c r="E4" s="12" t="s">
        <v>4</v>
      </c>
      <c r="I4" s="2" t="s">
        <v>54</v>
      </c>
    </row>
    <row r="5" spans="1:9" x14ac:dyDescent="0.2">
      <c r="A5" s="2">
        <v>44197</v>
      </c>
      <c r="B5" s="1">
        <v>44197</v>
      </c>
      <c r="C5" s="1">
        <v>0.25</v>
      </c>
      <c r="E5" s="1">
        <v>0</v>
      </c>
      <c r="F5" s="5" t="s">
        <v>53</v>
      </c>
      <c r="G5" s="1"/>
      <c r="H5" s="1"/>
      <c r="I5" s="1" t="s">
        <v>55</v>
      </c>
    </row>
    <row r="6" spans="1:9" x14ac:dyDescent="0.2">
      <c r="A6" s="2">
        <v>44198</v>
      </c>
      <c r="B6" s="1">
        <v>44198</v>
      </c>
      <c r="C6" s="5">
        <v>0.16666666666666699</v>
      </c>
      <c r="E6" s="1">
        <v>0.25</v>
      </c>
      <c r="F6" s="5"/>
      <c r="I6" s="2" t="s">
        <v>56</v>
      </c>
    </row>
    <row r="7" spans="1:9" x14ac:dyDescent="0.2">
      <c r="A7" s="2">
        <v>44199</v>
      </c>
      <c r="B7" s="1">
        <v>44199</v>
      </c>
      <c r="C7" s="5">
        <v>0.20833333333333401</v>
      </c>
      <c r="E7" s="1">
        <v>0.3</v>
      </c>
      <c r="F7" s="5"/>
    </row>
    <row r="8" spans="1:9" x14ac:dyDescent="0.2">
      <c r="A8" s="2">
        <v>44200</v>
      </c>
      <c r="B8" s="30">
        <v>44200</v>
      </c>
      <c r="C8" s="5">
        <v>0.25</v>
      </c>
      <c r="E8" s="1">
        <v>0.4</v>
      </c>
      <c r="F8" s="5"/>
      <c r="G8" s="2" t="s">
        <v>45</v>
      </c>
      <c r="H8" s="2">
        <v>1</v>
      </c>
    </row>
    <row r="9" spans="1:9" x14ac:dyDescent="0.2">
      <c r="A9" s="2">
        <v>44201</v>
      </c>
      <c r="B9" s="30">
        <v>44201</v>
      </c>
      <c r="C9" s="5">
        <v>0.29166666666666702</v>
      </c>
      <c r="E9" s="1">
        <v>0.5</v>
      </c>
      <c r="F9" s="5"/>
      <c r="G9" s="2" t="s">
        <v>46</v>
      </c>
      <c r="H9" s="2">
        <v>2</v>
      </c>
    </row>
    <row r="10" spans="1:9" x14ac:dyDescent="0.2">
      <c r="A10" s="2">
        <v>44202</v>
      </c>
      <c r="B10" s="30">
        <v>44202</v>
      </c>
      <c r="C10" s="5">
        <v>0.33333333333333398</v>
      </c>
      <c r="E10" s="1">
        <v>0.75</v>
      </c>
      <c r="F10" s="5"/>
    </row>
    <row r="11" spans="1:9" x14ac:dyDescent="0.2">
      <c r="A11" s="2">
        <v>44203</v>
      </c>
      <c r="B11" s="30">
        <v>44203</v>
      </c>
      <c r="C11" s="5">
        <v>0.375</v>
      </c>
      <c r="E11" s="1">
        <v>1</v>
      </c>
      <c r="F11" s="5"/>
    </row>
    <row r="12" spans="1:9" x14ac:dyDescent="0.2">
      <c r="A12" s="2">
        <v>44204</v>
      </c>
      <c r="B12" s="30">
        <v>44204</v>
      </c>
      <c r="C12" s="5">
        <v>0.41666666666666702</v>
      </c>
      <c r="I12" s="1">
        <v>1</v>
      </c>
    </row>
    <row r="13" spans="1:9" x14ac:dyDescent="0.2">
      <c r="A13" s="2">
        <v>44205</v>
      </c>
      <c r="B13" s="30">
        <v>44205</v>
      </c>
      <c r="C13" s="5">
        <v>0.45833333333333398</v>
      </c>
      <c r="G13" s="2">
        <v>44197</v>
      </c>
    </row>
    <row r="14" spans="1:9" x14ac:dyDescent="0.2">
      <c r="A14" s="2">
        <v>44206</v>
      </c>
      <c r="B14" s="30">
        <v>44206</v>
      </c>
      <c r="C14" s="5">
        <v>0.5</v>
      </c>
      <c r="E14">
        <f>0.201*24</f>
        <v>4.8239999999999998</v>
      </c>
    </row>
    <row r="15" spans="1:9" x14ac:dyDescent="0.2">
      <c r="A15" s="2">
        <v>44207</v>
      </c>
      <c r="B15" s="30">
        <v>44207</v>
      </c>
      <c r="C15" s="5">
        <v>0.54166666666666696</v>
      </c>
      <c r="I15" s="1">
        <f>INT(E17)</f>
        <v>44197</v>
      </c>
    </row>
    <row r="16" spans="1:9" x14ac:dyDescent="0.2">
      <c r="A16" s="2">
        <v>44208</v>
      </c>
      <c r="B16" s="30">
        <v>44208</v>
      </c>
      <c r="C16" s="5">
        <v>0.58333333333333404</v>
      </c>
      <c r="G16" s="2" t="s">
        <v>52</v>
      </c>
      <c r="H16" s="2" t="s">
        <v>47</v>
      </c>
    </row>
    <row r="17" spans="1:9" x14ac:dyDescent="0.2">
      <c r="A17" s="2">
        <v>44209</v>
      </c>
      <c r="B17" s="30">
        <v>44209</v>
      </c>
      <c r="C17" s="5">
        <v>0.625</v>
      </c>
      <c r="E17">
        <v>44197.5</v>
      </c>
      <c r="G17" s="2" t="s">
        <v>51</v>
      </c>
      <c r="H17" s="2" t="s">
        <v>48</v>
      </c>
      <c r="I17" s="1">
        <f>MOD(E17,1)</f>
        <v>0.5</v>
      </c>
    </row>
    <row r="18" spans="1:9" x14ac:dyDescent="0.2">
      <c r="A18" s="2">
        <v>44210</v>
      </c>
      <c r="B18" s="30">
        <v>44210</v>
      </c>
      <c r="C18" s="5">
        <v>0.66666666666666696</v>
      </c>
      <c r="G18" s="2" t="s">
        <v>50</v>
      </c>
      <c r="H18" s="2" t="s">
        <v>49</v>
      </c>
    </row>
    <row r="19" spans="1:9" x14ac:dyDescent="0.2">
      <c r="A19" s="2">
        <v>44211</v>
      </c>
      <c r="B19" s="30">
        <v>44211</v>
      </c>
      <c r="C19" s="5">
        <v>0.70833333333333404</v>
      </c>
    </row>
    <row r="20" spans="1:9" x14ac:dyDescent="0.2">
      <c r="A20" s="2">
        <v>44212</v>
      </c>
      <c r="B20" s="30">
        <v>44212</v>
      </c>
      <c r="C20" s="5">
        <v>0.75</v>
      </c>
    </row>
    <row r="21" spans="1:9" x14ac:dyDescent="0.2">
      <c r="A21" s="2">
        <v>44213</v>
      </c>
      <c r="B21" s="30">
        <v>44213</v>
      </c>
      <c r="C21" s="5">
        <v>0.79166666666666696</v>
      </c>
    </row>
    <row r="22" spans="1:9" x14ac:dyDescent="0.2">
      <c r="A22" s="2">
        <v>44214</v>
      </c>
      <c r="B22" s="30">
        <v>44214</v>
      </c>
      <c r="C22" s="5">
        <v>0.83333333333333404</v>
      </c>
    </row>
    <row r="23" spans="1:9" x14ac:dyDescent="0.2">
      <c r="A23" s="2">
        <v>44215</v>
      </c>
      <c r="B23" s="30">
        <v>44215</v>
      </c>
      <c r="C23" s="5">
        <v>0.875</v>
      </c>
    </row>
    <row r="24" spans="1:9" x14ac:dyDescent="0.2">
      <c r="A24" s="2">
        <v>44216</v>
      </c>
      <c r="B24" s="30">
        <v>44216</v>
      </c>
      <c r="C24" s="5">
        <v>0.91666666666666696</v>
      </c>
    </row>
    <row r="25" spans="1:9" x14ac:dyDescent="0.2">
      <c r="A25" s="2">
        <v>44217</v>
      </c>
      <c r="B25" s="30">
        <v>44217</v>
      </c>
      <c r="C25" s="5">
        <v>0.95833333333333404</v>
      </c>
    </row>
    <row r="26" spans="1:9" x14ac:dyDescent="0.2">
      <c r="A26" s="2">
        <v>44218</v>
      </c>
      <c r="B26" s="30">
        <v>44218</v>
      </c>
      <c r="C26" s="5">
        <v>1</v>
      </c>
    </row>
    <row r="28" spans="1:9" x14ac:dyDescent="0.2">
      <c r="A28" s="29"/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B67A-B78E-4BDB-AA9F-1E89B103CC73}">
  <dimension ref="A1:N30"/>
  <sheetViews>
    <sheetView tabSelected="1" workbookViewId="0">
      <selection activeCell="F21" sqref="F21"/>
    </sheetView>
  </sheetViews>
  <sheetFormatPr defaultRowHeight="14.25" x14ac:dyDescent="0.2"/>
  <cols>
    <col min="1" max="1" width="9.875" bestFit="1" customWidth="1"/>
    <col min="2" max="2" width="12.375" bestFit="1" customWidth="1"/>
    <col min="3" max="3" width="12.125" bestFit="1" customWidth="1"/>
    <col min="4" max="4" width="10.125" bestFit="1" customWidth="1"/>
    <col min="5" max="5" width="14.625" bestFit="1" customWidth="1"/>
    <col min="6" max="6" width="12.5" bestFit="1" customWidth="1"/>
    <col min="9" max="9" width="12.25" bestFit="1" customWidth="1"/>
  </cols>
  <sheetData>
    <row r="1" spans="1:14" ht="15" x14ac:dyDescent="0.25">
      <c r="A1" s="25" t="s">
        <v>12</v>
      </c>
      <c r="B1" s="25" t="s">
        <v>28</v>
      </c>
      <c r="C1" s="25" t="s">
        <v>29</v>
      </c>
      <c r="D1" s="25" t="s">
        <v>30</v>
      </c>
      <c r="E1" s="25" t="s">
        <v>31</v>
      </c>
      <c r="F1" s="25" t="s">
        <v>32</v>
      </c>
      <c r="G1" s="25" t="s">
        <v>33</v>
      </c>
      <c r="H1" s="25" t="s">
        <v>34</v>
      </c>
      <c r="I1" s="25" t="s">
        <v>35</v>
      </c>
      <c r="K1" s="25" t="s">
        <v>33</v>
      </c>
      <c r="L1" s="25" t="s">
        <v>36</v>
      </c>
      <c r="M1" s="25" t="s">
        <v>37</v>
      </c>
      <c r="N1" s="25" t="s">
        <v>12</v>
      </c>
    </row>
    <row r="2" spans="1:14" x14ac:dyDescent="0.2">
      <c r="A2" s="19">
        <v>44175</v>
      </c>
      <c r="B2" s="20">
        <v>5095</v>
      </c>
      <c r="C2" s="21">
        <f>DAY(A2)</f>
        <v>10</v>
      </c>
      <c r="D2" s="21" t="str">
        <f>TEXT(C2, "ddd")</f>
        <v>Tue</v>
      </c>
      <c r="E2" s="21">
        <f>MONTH(A2)</f>
        <v>12</v>
      </c>
      <c r="F2" s="21" t="str">
        <f>TEXT(E2,"MMM")</f>
        <v>Jan</v>
      </c>
      <c r="G2" s="21">
        <f>YEAR(A2)</f>
        <v>2020</v>
      </c>
      <c r="H2" s="21">
        <f>WEEKDAY(A2)</f>
        <v>5</v>
      </c>
      <c r="I2" s="21" t="str">
        <f>IF(WEEKDAY(A2)&gt;5,"Weekend","Weekday")</f>
        <v>Weekday</v>
      </c>
      <c r="K2" s="22">
        <v>2016</v>
      </c>
      <c r="L2" s="22">
        <v>2</v>
      </c>
      <c r="M2" s="22">
        <v>10</v>
      </c>
      <c r="N2" s="23">
        <f>DATE(K2,L2,M2)</f>
        <v>42410</v>
      </c>
    </row>
    <row r="3" spans="1:14" x14ac:dyDescent="0.2">
      <c r="A3" s="19">
        <v>43845</v>
      </c>
      <c r="B3" s="20">
        <v>5484</v>
      </c>
      <c r="C3" s="21">
        <f t="shared" ref="C3:C30" si="0">DAY(A3)</f>
        <v>15</v>
      </c>
      <c r="D3" s="21" t="str">
        <f t="shared" ref="D3:D30" si="1">TEXT(C3, "ddd")</f>
        <v>Sun</v>
      </c>
      <c r="E3" s="21">
        <f t="shared" ref="E3:E30" si="2">MONTH(A3)</f>
        <v>1</v>
      </c>
      <c r="F3" s="21"/>
      <c r="G3" s="21">
        <f t="shared" ref="G3:G30" si="3">YEAR(A3)</f>
        <v>2020</v>
      </c>
      <c r="H3" s="21">
        <f t="shared" ref="H3:H30" si="4">WEEKDAY(A3)</f>
        <v>4</v>
      </c>
      <c r="I3" s="21" t="str">
        <f t="shared" ref="I3:I30" si="5">IF(WEEKDAY(A3)&gt;5,"Weekend","Weekday")</f>
        <v>Weekday</v>
      </c>
      <c r="K3" s="22">
        <v>2017</v>
      </c>
      <c r="L3" s="22">
        <v>3</v>
      </c>
      <c r="M3" s="22">
        <v>11</v>
      </c>
      <c r="N3" s="23">
        <f t="shared" ref="N3:N7" si="6">DATE(K3,L3,M3)</f>
        <v>42805</v>
      </c>
    </row>
    <row r="4" spans="1:14" x14ac:dyDescent="0.2">
      <c r="A4" s="19">
        <v>44183</v>
      </c>
      <c r="B4" s="20">
        <v>9134</v>
      </c>
      <c r="C4" s="21">
        <f t="shared" si="0"/>
        <v>18</v>
      </c>
      <c r="D4" s="21" t="str">
        <f t="shared" si="1"/>
        <v>Wed</v>
      </c>
      <c r="E4" s="21">
        <f t="shared" si="2"/>
        <v>12</v>
      </c>
      <c r="F4" s="21"/>
      <c r="G4" s="21">
        <f t="shared" si="3"/>
        <v>2020</v>
      </c>
      <c r="H4" s="21">
        <f t="shared" si="4"/>
        <v>6</v>
      </c>
      <c r="I4" s="21" t="str">
        <f t="shared" si="5"/>
        <v>Weekend</v>
      </c>
      <c r="K4" s="22">
        <v>2018</v>
      </c>
      <c r="L4" s="22">
        <v>4</v>
      </c>
      <c r="M4" s="22">
        <v>12</v>
      </c>
      <c r="N4" s="23">
        <f t="shared" si="6"/>
        <v>43202</v>
      </c>
    </row>
    <row r="5" spans="1:14" x14ac:dyDescent="0.2">
      <c r="A5" s="19">
        <v>44032</v>
      </c>
      <c r="B5" s="20">
        <v>6162</v>
      </c>
      <c r="C5" s="21">
        <f>DAY(A5)</f>
        <v>20</v>
      </c>
      <c r="D5" s="21" t="str">
        <f t="shared" si="1"/>
        <v>Fri</v>
      </c>
      <c r="E5" s="21">
        <f t="shared" si="2"/>
        <v>7</v>
      </c>
      <c r="F5" s="21"/>
      <c r="G5" s="21">
        <f t="shared" si="3"/>
        <v>2020</v>
      </c>
      <c r="H5" s="21">
        <f t="shared" si="4"/>
        <v>2</v>
      </c>
      <c r="I5" s="21" t="str">
        <f t="shared" si="5"/>
        <v>Weekday</v>
      </c>
      <c r="K5" s="22">
        <v>2019</v>
      </c>
      <c r="L5" s="22">
        <v>5</v>
      </c>
      <c r="M5" s="22">
        <v>14</v>
      </c>
      <c r="N5" s="23">
        <f t="shared" si="6"/>
        <v>43599</v>
      </c>
    </row>
    <row r="6" spans="1:14" x14ac:dyDescent="0.2">
      <c r="A6" s="19">
        <v>44168</v>
      </c>
      <c r="B6" s="20">
        <v>6258</v>
      </c>
      <c r="C6" s="21">
        <f t="shared" si="0"/>
        <v>3</v>
      </c>
      <c r="D6" s="21" t="str">
        <f t="shared" si="1"/>
        <v>Tue</v>
      </c>
      <c r="E6" s="21">
        <f t="shared" si="2"/>
        <v>12</v>
      </c>
      <c r="F6" s="21"/>
      <c r="G6" s="21">
        <f t="shared" si="3"/>
        <v>2020</v>
      </c>
      <c r="H6" s="21">
        <f t="shared" si="4"/>
        <v>5</v>
      </c>
      <c r="I6" s="21" t="str">
        <f t="shared" si="5"/>
        <v>Weekday</v>
      </c>
      <c r="K6" s="22">
        <v>2020</v>
      </c>
      <c r="L6" s="22">
        <v>6</v>
      </c>
      <c r="M6" s="22">
        <v>20</v>
      </c>
      <c r="N6" s="23">
        <f t="shared" si="6"/>
        <v>44002</v>
      </c>
    </row>
    <row r="7" spans="1:14" x14ac:dyDescent="0.2">
      <c r="A7" s="19">
        <v>44027</v>
      </c>
      <c r="B7" s="20">
        <v>5312</v>
      </c>
      <c r="C7" s="21">
        <f t="shared" si="0"/>
        <v>15</v>
      </c>
      <c r="D7" s="21" t="str">
        <f t="shared" si="1"/>
        <v>Sun</v>
      </c>
      <c r="E7" s="21">
        <f>MONTH(A7)</f>
        <v>7</v>
      </c>
      <c r="F7" s="21"/>
      <c r="G7" s="21">
        <f t="shared" si="3"/>
        <v>2020</v>
      </c>
      <c r="H7" s="21">
        <f t="shared" si="4"/>
        <v>4</v>
      </c>
      <c r="I7" s="21" t="str">
        <f t="shared" si="5"/>
        <v>Weekday</v>
      </c>
      <c r="K7" s="22">
        <v>2021</v>
      </c>
      <c r="L7" s="22">
        <v>7</v>
      </c>
      <c r="M7" s="22">
        <v>23</v>
      </c>
      <c r="N7" s="23">
        <f t="shared" si="6"/>
        <v>44400</v>
      </c>
    </row>
    <row r="8" spans="1:14" x14ac:dyDescent="0.2">
      <c r="A8" s="19">
        <v>44154</v>
      </c>
      <c r="B8" s="20">
        <v>9286</v>
      </c>
      <c r="C8" s="21">
        <f t="shared" si="0"/>
        <v>19</v>
      </c>
      <c r="D8" s="21" t="str">
        <f t="shared" si="1"/>
        <v>Thu</v>
      </c>
      <c r="E8" s="21">
        <f t="shared" si="2"/>
        <v>11</v>
      </c>
      <c r="F8" s="21"/>
      <c r="G8" s="21">
        <f t="shared" si="3"/>
        <v>2020</v>
      </c>
      <c r="H8" s="21">
        <f t="shared" si="4"/>
        <v>5</v>
      </c>
      <c r="I8" s="21" t="str">
        <f t="shared" si="5"/>
        <v>Weekday</v>
      </c>
    </row>
    <row r="9" spans="1:14" ht="15" x14ac:dyDescent="0.25">
      <c r="A9" s="19">
        <v>44039</v>
      </c>
      <c r="B9" s="20">
        <v>4936</v>
      </c>
      <c r="C9" s="21">
        <f t="shared" si="0"/>
        <v>27</v>
      </c>
      <c r="D9" s="21" t="str">
        <f t="shared" si="1"/>
        <v>Fri</v>
      </c>
      <c r="E9" s="21">
        <f t="shared" si="2"/>
        <v>7</v>
      </c>
      <c r="F9" s="21"/>
      <c r="G9" s="21">
        <f t="shared" si="3"/>
        <v>2020</v>
      </c>
      <c r="H9" s="21">
        <f t="shared" si="4"/>
        <v>2</v>
      </c>
      <c r="I9" s="21" t="str">
        <f t="shared" si="5"/>
        <v>Weekday</v>
      </c>
      <c r="K9" s="25" t="s">
        <v>38</v>
      </c>
      <c r="L9" s="25" t="s">
        <v>39</v>
      </c>
      <c r="M9" s="25" t="s">
        <v>40</v>
      </c>
      <c r="N9" s="25" t="s">
        <v>41</v>
      </c>
    </row>
    <row r="10" spans="1:14" x14ac:dyDescent="0.2">
      <c r="A10" s="19">
        <v>43845</v>
      </c>
      <c r="B10" s="20">
        <v>8374</v>
      </c>
      <c r="C10" s="21">
        <f t="shared" si="0"/>
        <v>15</v>
      </c>
      <c r="D10" s="21" t="str">
        <f t="shared" si="1"/>
        <v>Sun</v>
      </c>
      <c r="E10" s="21">
        <f t="shared" si="2"/>
        <v>1</v>
      </c>
      <c r="F10" s="21"/>
      <c r="G10" s="21">
        <f t="shared" si="3"/>
        <v>2020</v>
      </c>
      <c r="H10" s="21">
        <f t="shared" si="4"/>
        <v>4</v>
      </c>
      <c r="I10" s="21" t="str">
        <f t="shared" si="5"/>
        <v>Weekday</v>
      </c>
      <c r="K10" s="22">
        <v>12</v>
      </c>
      <c r="L10" s="22">
        <v>20</v>
      </c>
      <c r="M10" s="22">
        <v>1</v>
      </c>
      <c r="N10" s="24">
        <f>TIME(K10,L10,M10)</f>
        <v>0.51390046296296299</v>
      </c>
    </row>
    <row r="11" spans="1:14" x14ac:dyDescent="0.2">
      <c r="A11" s="19">
        <v>44021</v>
      </c>
      <c r="B11" s="20">
        <v>9648</v>
      </c>
      <c r="C11" s="21">
        <f t="shared" si="0"/>
        <v>9</v>
      </c>
      <c r="D11" s="21" t="str">
        <f t="shared" si="1"/>
        <v>Mon</v>
      </c>
      <c r="E11" s="21">
        <f t="shared" si="2"/>
        <v>7</v>
      </c>
      <c r="F11" s="21"/>
      <c r="G11" s="21">
        <f t="shared" si="3"/>
        <v>2020</v>
      </c>
      <c r="H11" s="21">
        <f t="shared" si="4"/>
        <v>5</v>
      </c>
      <c r="I11" s="21" t="str">
        <f t="shared" si="5"/>
        <v>Weekday</v>
      </c>
      <c r="K11" s="22">
        <v>11</v>
      </c>
      <c r="L11" s="22">
        <v>21</v>
      </c>
      <c r="M11" s="22">
        <v>2</v>
      </c>
      <c r="N11" s="24">
        <f t="shared" ref="N11:N15" si="7">TIME(K11,L11,M11)</f>
        <v>0.47293981481481484</v>
      </c>
    </row>
    <row r="12" spans="1:14" x14ac:dyDescent="0.2">
      <c r="A12" s="19">
        <v>43919</v>
      </c>
      <c r="B12" s="20">
        <v>8994</v>
      </c>
      <c r="C12" s="21">
        <f t="shared" si="0"/>
        <v>29</v>
      </c>
      <c r="D12" s="21" t="str">
        <f t="shared" si="1"/>
        <v>Sun</v>
      </c>
      <c r="E12" s="21">
        <f t="shared" si="2"/>
        <v>3</v>
      </c>
      <c r="F12" s="21"/>
      <c r="G12" s="21">
        <f t="shared" si="3"/>
        <v>2020</v>
      </c>
      <c r="H12" s="21">
        <f t="shared" si="4"/>
        <v>1</v>
      </c>
      <c r="I12" s="21" t="str">
        <f t="shared" si="5"/>
        <v>Weekday</v>
      </c>
      <c r="K12" s="22">
        <v>10</v>
      </c>
      <c r="L12" s="22">
        <v>22</v>
      </c>
      <c r="M12" s="22">
        <v>3</v>
      </c>
      <c r="N12" s="24">
        <f t="shared" si="7"/>
        <v>0.43197916666666669</v>
      </c>
    </row>
    <row r="13" spans="1:14" x14ac:dyDescent="0.2">
      <c r="A13" s="19">
        <v>44142</v>
      </c>
      <c r="B13" s="20">
        <v>8877</v>
      </c>
      <c r="C13" s="21">
        <f t="shared" si="0"/>
        <v>7</v>
      </c>
      <c r="D13" s="21" t="str">
        <f t="shared" si="1"/>
        <v>Sat</v>
      </c>
      <c r="E13" s="21">
        <f t="shared" si="2"/>
        <v>11</v>
      </c>
      <c r="F13" s="21"/>
      <c r="G13" s="21">
        <f t="shared" si="3"/>
        <v>2020</v>
      </c>
      <c r="H13" s="21">
        <f t="shared" si="4"/>
        <v>7</v>
      </c>
      <c r="I13" s="21" t="str">
        <f>IF(WEEKDAY(A13)&gt;5,"Weekend","Weekday")</f>
        <v>Weekend</v>
      </c>
      <c r="K13" s="22">
        <v>9</v>
      </c>
      <c r="L13" s="22">
        <v>23</v>
      </c>
      <c r="M13" s="22">
        <v>4</v>
      </c>
      <c r="N13" s="24">
        <f t="shared" si="7"/>
        <v>0.39101851851851854</v>
      </c>
    </row>
    <row r="14" spans="1:14" x14ac:dyDescent="0.2">
      <c r="A14" s="19">
        <v>43962</v>
      </c>
      <c r="B14" s="20">
        <v>5053</v>
      </c>
      <c r="C14" s="21">
        <f t="shared" si="0"/>
        <v>11</v>
      </c>
      <c r="D14" s="21" t="str">
        <f t="shared" si="1"/>
        <v>Wed</v>
      </c>
      <c r="E14" s="21">
        <f t="shared" si="2"/>
        <v>5</v>
      </c>
      <c r="F14" s="21"/>
      <c r="G14" s="21">
        <f t="shared" si="3"/>
        <v>2020</v>
      </c>
      <c r="H14" s="21">
        <f t="shared" si="4"/>
        <v>2</v>
      </c>
      <c r="I14" s="21" t="str">
        <f t="shared" si="5"/>
        <v>Weekday</v>
      </c>
      <c r="K14" s="22">
        <v>8</v>
      </c>
      <c r="L14" s="22">
        <v>24</v>
      </c>
      <c r="M14" s="22">
        <v>5</v>
      </c>
      <c r="N14" s="24">
        <f t="shared" si="7"/>
        <v>0.35005787037037039</v>
      </c>
    </row>
    <row r="15" spans="1:14" x14ac:dyDescent="0.2">
      <c r="A15" s="19">
        <v>44162</v>
      </c>
      <c r="B15" s="20">
        <v>6987</v>
      </c>
      <c r="C15" s="21">
        <f t="shared" si="0"/>
        <v>27</v>
      </c>
      <c r="D15" s="21" t="str">
        <f t="shared" si="1"/>
        <v>Fri</v>
      </c>
      <c r="E15" s="21">
        <f t="shared" si="2"/>
        <v>11</v>
      </c>
      <c r="F15" s="21"/>
      <c r="G15" s="21">
        <f t="shared" si="3"/>
        <v>2020</v>
      </c>
      <c r="H15" s="21">
        <f t="shared" si="4"/>
        <v>6</v>
      </c>
      <c r="I15" s="21" t="str">
        <f t="shared" si="5"/>
        <v>Weekend</v>
      </c>
      <c r="K15" s="22">
        <v>7</v>
      </c>
      <c r="L15" s="22">
        <v>25</v>
      </c>
      <c r="M15" s="22">
        <v>6</v>
      </c>
      <c r="N15" s="24">
        <f t="shared" si="7"/>
        <v>0.30909722222222225</v>
      </c>
    </row>
    <row r="16" spans="1:14" x14ac:dyDescent="0.2">
      <c r="A16" s="19">
        <v>43872</v>
      </c>
      <c r="B16" s="20">
        <v>7519</v>
      </c>
      <c r="C16" s="21">
        <f t="shared" si="0"/>
        <v>11</v>
      </c>
      <c r="D16" s="21" t="str">
        <f t="shared" si="1"/>
        <v>Wed</v>
      </c>
      <c r="E16" s="21">
        <f t="shared" si="2"/>
        <v>2</v>
      </c>
      <c r="F16" s="21"/>
      <c r="G16" s="21">
        <f t="shared" si="3"/>
        <v>2020</v>
      </c>
      <c r="H16" s="21">
        <f t="shared" si="4"/>
        <v>3</v>
      </c>
      <c r="I16" s="21" t="str">
        <f t="shared" si="5"/>
        <v>Weekday</v>
      </c>
      <c r="K16" s="22">
        <v>6</v>
      </c>
      <c r="L16" s="22">
        <v>26</v>
      </c>
      <c r="M16" s="22">
        <v>7</v>
      </c>
      <c r="N16" s="24"/>
    </row>
    <row r="17" spans="1:13" x14ac:dyDescent="0.2">
      <c r="A17" s="19">
        <v>44000</v>
      </c>
      <c r="B17" s="20">
        <v>8459</v>
      </c>
      <c r="C17" s="21">
        <f t="shared" si="0"/>
        <v>18</v>
      </c>
      <c r="D17" s="21" t="str">
        <f t="shared" si="1"/>
        <v>Wed</v>
      </c>
      <c r="E17" s="21">
        <f t="shared" si="2"/>
        <v>6</v>
      </c>
      <c r="F17" s="21"/>
      <c r="G17" s="21">
        <f t="shared" si="3"/>
        <v>2020</v>
      </c>
      <c r="H17" s="21">
        <f t="shared" si="4"/>
        <v>5</v>
      </c>
      <c r="I17" s="21" t="str">
        <f t="shared" si="5"/>
        <v>Weekday</v>
      </c>
    </row>
    <row r="18" spans="1:13" x14ac:dyDescent="0.2">
      <c r="A18" s="19">
        <v>43982</v>
      </c>
      <c r="B18" s="20">
        <v>5802</v>
      </c>
      <c r="C18" s="21">
        <f t="shared" si="0"/>
        <v>31</v>
      </c>
      <c r="D18" s="21" t="str">
        <f t="shared" si="1"/>
        <v>Tue</v>
      </c>
      <c r="E18" s="21">
        <f t="shared" si="2"/>
        <v>5</v>
      </c>
      <c r="F18" s="21"/>
      <c r="G18" s="21">
        <f t="shared" si="3"/>
        <v>2020</v>
      </c>
      <c r="H18" s="21">
        <f t="shared" si="4"/>
        <v>1</v>
      </c>
      <c r="I18" s="21" t="str">
        <f t="shared" si="5"/>
        <v>Weekday</v>
      </c>
    </row>
    <row r="19" spans="1:13" x14ac:dyDescent="0.2">
      <c r="A19" s="19">
        <v>43869</v>
      </c>
      <c r="B19" s="20">
        <v>4706</v>
      </c>
      <c r="C19" s="21">
        <f t="shared" si="0"/>
        <v>8</v>
      </c>
      <c r="D19" s="21" t="str">
        <f t="shared" si="1"/>
        <v>Sun</v>
      </c>
      <c r="E19" s="21">
        <f t="shared" si="2"/>
        <v>2</v>
      </c>
      <c r="F19" s="21"/>
      <c r="G19" s="21">
        <f t="shared" si="3"/>
        <v>2020</v>
      </c>
      <c r="H19" s="21">
        <f t="shared" si="4"/>
        <v>7</v>
      </c>
      <c r="I19" s="21" t="str">
        <f t="shared" si="5"/>
        <v>Weekend</v>
      </c>
    </row>
    <row r="20" spans="1:13" x14ac:dyDescent="0.2">
      <c r="A20" s="19">
        <v>43948</v>
      </c>
      <c r="B20" s="20">
        <v>7777</v>
      </c>
      <c r="C20" s="21">
        <f t="shared" si="0"/>
        <v>27</v>
      </c>
      <c r="D20" s="21" t="str">
        <f t="shared" si="1"/>
        <v>Fri</v>
      </c>
      <c r="E20" s="21">
        <f t="shared" si="2"/>
        <v>4</v>
      </c>
      <c r="F20" s="21"/>
      <c r="G20" s="21">
        <f t="shared" si="3"/>
        <v>2020</v>
      </c>
      <c r="H20" s="21">
        <f t="shared" si="4"/>
        <v>2</v>
      </c>
      <c r="I20" s="21" t="str">
        <f t="shared" si="5"/>
        <v>Weekday</v>
      </c>
      <c r="K20" t="s">
        <v>68</v>
      </c>
    </row>
    <row r="21" spans="1:13" x14ac:dyDescent="0.2">
      <c r="A21" s="19">
        <v>43966</v>
      </c>
      <c r="B21" s="20">
        <v>9701</v>
      </c>
      <c r="C21" s="21">
        <f t="shared" si="0"/>
        <v>15</v>
      </c>
      <c r="D21" s="21" t="str">
        <f t="shared" si="1"/>
        <v>Sun</v>
      </c>
      <c r="E21" s="21">
        <f t="shared" si="2"/>
        <v>5</v>
      </c>
      <c r="F21" s="21"/>
      <c r="G21" s="21">
        <f t="shared" si="3"/>
        <v>2020</v>
      </c>
      <c r="H21" s="21">
        <f t="shared" si="4"/>
        <v>6</v>
      </c>
      <c r="I21" s="21" t="str">
        <f t="shared" si="5"/>
        <v>Weekend</v>
      </c>
      <c r="K21" t="s">
        <v>69</v>
      </c>
      <c r="M21" s="1">
        <f ca="1">TODAY()-A4</f>
        <v>1993</v>
      </c>
    </row>
    <row r="22" spans="1:13" x14ac:dyDescent="0.2">
      <c r="A22" s="19">
        <v>43865</v>
      </c>
      <c r="B22" s="20">
        <v>4472</v>
      </c>
      <c r="C22" s="21">
        <f t="shared" si="0"/>
        <v>4</v>
      </c>
      <c r="D22" s="21" t="str">
        <f t="shared" si="1"/>
        <v>Wed</v>
      </c>
      <c r="E22" s="21">
        <f t="shared" si="2"/>
        <v>2</v>
      </c>
      <c r="F22" s="21"/>
      <c r="G22" s="21">
        <f t="shared" si="3"/>
        <v>2020</v>
      </c>
      <c r="H22" s="21">
        <f t="shared" si="4"/>
        <v>3</v>
      </c>
      <c r="I22" s="21" t="str">
        <f t="shared" si="5"/>
        <v>Weekday</v>
      </c>
    </row>
    <row r="23" spans="1:13" x14ac:dyDescent="0.2">
      <c r="A23" s="19">
        <v>44025</v>
      </c>
      <c r="B23" s="20">
        <v>8831</v>
      </c>
      <c r="C23" s="21">
        <f t="shared" si="0"/>
        <v>13</v>
      </c>
      <c r="D23" s="21" t="str">
        <f t="shared" si="1"/>
        <v>Fri</v>
      </c>
      <c r="E23" s="21">
        <f t="shared" si="2"/>
        <v>7</v>
      </c>
      <c r="F23" s="21"/>
      <c r="G23" s="21">
        <f t="shared" si="3"/>
        <v>2020</v>
      </c>
      <c r="H23" s="21">
        <f t="shared" si="4"/>
        <v>2</v>
      </c>
      <c r="I23" s="21" t="str">
        <f t="shared" si="5"/>
        <v>Weekday</v>
      </c>
    </row>
    <row r="24" spans="1:13" x14ac:dyDescent="0.2">
      <c r="A24" s="19">
        <v>44094</v>
      </c>
      <c r="B24" s="20">
        <v>4686</v>
      </c>
      <c r="C24" s="21">
        <f t="shared" si="0"/>
        <v>20</v>
      </c>
      <c r="D24" s="21" t="str">
        <f t="shared" si="1"/>
        <v>Fri</v>
      </c>
      <c r="E24" s="21">
        <f t="shared" si="2"/>
        <v>9</v>
      </c>
      <c r="F24" s="21"/>
      <c r="G24" s="21">
        <f t="shared" si="3"/>
        <v>2020</v>
      </c>
      <c r="H24" s="21">
        <f t="shared" si="4"/>
        <v>1</v>
      </c>
      <c r="I24" s="21" t="str">
        <f t="shared" si="5"/>
        <v>Weekday</v>
      </c>
    </row>
    <row r="25" spans="1:13" x14ac:dyDescent="0.2">
      <c r="A25" s="19">
        <v>43868</v>
      </c>
      <c r="B25" s="20">
        <v>9035</v>
      </c>
      <c r="C25" s="21">
        <f t="shared" si="0"/>
        <v>7</v>
      </c>
      <c r="D25" s="21" t="str">
        <f t="shared" si="1"/>
        <v>Sat</v>
      </c>
      <c r="E25" s="21">
        <f t="shared" si="2"/>
        <v>2</v>
      </c>
      <c r="F25" s="21"/>
      <c r="G25" s="21">
        <f t="shared" si="3"/>
        <v>2020</v>
      </c>
      <c r="H25" s="21">
        <f t="shared" si="4"/>
        <v>6</v>
      </c>
      <c r="I25" s="21" t="str">
        <f t="shared" si="5"/>
        <v>Weekend</v>
      </c>
    </row>
    <row r="26" spans="1:13" x14ac:dyDescent="0.2">
      <c r="A26" s="19">
        <v>43901</v>
      </c>
      <c r="B26" s="20">
        <v>3430</v>
      </c>
      <c r="C26" s="21">
        <f t="shared" si="0"/>
        <v>11</v>
      </c>
      <c r="D26" s="21" t="str">
        <f t="shared" si="1"/>
        <v>Wed</v>
      </c>
      <c r="E26" s="21">
        <f t="shared" si="2"/>
        <v>3</v>
      </c>
      <c r="F26" s="21"/>
      <c r="G26" s="21">
        <f t="shared" si="3"/>
        <v>2020</v>
      </c>
      <c r="H26" s="21">
        <f t="shared" si="4"/>
        <v>4</v>
      </c>
      <c r="I26" s="21" t="str">
        <f t="shared" si="5"/>
        <v>Weekday</v>
      </c>
    </row>
    <row r="27" spans="1:13" x14ac:dyDescent="0.2">
      <c r="A27" s="19">
        <v>44027</v>
      </c>
      <c r="B27" s="20">
        <v>8896</v>
      </c>
      <c r="C27" s="21">
        <f t="shared" si="0"/>
        <v>15</v>
      </c>
      <c r="D27" s="21" t="str">
        <f t="shared" si="1"/>
        <v>Sun</v>
      </c>
      <c r="E27" s="21">
        <f t="shared" si="2"/>
        <v>7</v>
      </c>
      <c r="F27" s="21"/>
      <c r="G27" s="21">
        <f t="shared" si="3"/>
        <v>2020</v>
      </c>
      <c r="H27" s="21">
        <f t="shared" si="4"/>
        <v>4</v>
      </c>
      <c r="I27" s="21" t="str">
        <f t="shared" si="5"/>
        <v>Weekday</v>
      </c>
    </row>
    <row r="28" spans="1:13" x14ac:dyDescent="0.2">
      <c r="A28" s="19">
        <v>44126</v>
      </c>
      <c r="B28" s="20">
        <v>6431</v>
      </c>
      <c r="C28" s="21">
        <f t="shared" si="0"/>
        <v>22</v>
      </c>
      <c r="D28" s="21" t="str">
        <f t="shared" si="1"/>
        <v>Sun</v>
      </c>
      <c r="E28" s="21">
        <f t="shared" si="2"/>
        <v>10</v>
      </c>
      <c r="F28" s="21"/>
      <c r="G28" s="21">
        <f t="shared" si="3"/>
        <v>2020</v>
      </c>
      <c r="H28" s="21">
        <f t="shared" si="4"/>
        <v>5</v>
      </c>
      <c r="I28" s="21" t="str">
        <f t="shared" si="5"/>
        <v>Weekday</v>
      </c>
    </row>
    <row r="29" spans="1:13" x14ac:dyDescent="0.2">
      <c r="A29" s="19">
        <v>44161</v>
      </c>
      <c r="B29" s="20">
        <v>6153</v>
      </c>
      <c r="C29" s="21">
        <f t="shared" si="0"/>
        <v>26</v>
      </c>
      <c r="D29" s="21" t="str">
        <f t="shared" si="1"/>
        <v>Thu</v>
      </c>
      <c r="E29" s="21">
        <f t="shared" si="2"/>
        <v>11</v>
      </c>
      <c r="F29" s="21"/>
      <c r="G29" s="21">
        <f t="shared" si="3"/>
        <v>2020</v>
      </c>
      <c r="H29" s="21">
        <f t="shared" si="4"/>
        <v>5</v>
      </c>
      <c r="I29" s="21" t="str">
        <f t="shared" si="5"/>
        <v>Weekday</v>
      </c>
    </row>
    <row r="30" spans="1:13" x14ac:dyDescent="0.2">
      <c r="A30" s="19">
        <v>44178</v>
      </c>
      <c r="B30" s="20">
        <v>6876</v>
      </c>
      <c r="C30" s="21">
        <f t="shared" si="0"/>
        <v>13</v>
      </c>
      <c r="D30" s="21" t="str">
        <f t="shared" si="1"/>
        <v>Fri</v>
      </c>
      <c r="E30" s="21">
        <f t="shared" si="2"/>
        <v>12</v>
      </c>
      <c r="F30" s="21"/>
      <c r="G30" s="21">
        <f t="shared" si="3"/>
        <v>2020</v>
      </c>
      <c r="H30" s="21">
        <f t="shared" si="4"/>
        <v>1</v>
      </c>
      <c r="I30" s="21" t="str">
        <f t="shared" si="5"/>
        <v>Weekday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181-5051-4BC2-8350-83E6694AA362}">
  <dimension ref="A1:D27"/>
  <sheetViews>
    <sheetView workbookViewId="0">
      <selection activeCell="E8" sqref="E8"/>
    </sheetView>
  </sheetViews>
  <sheetFormatPr defaultRowHeight="14.25" x14ac:dyDescent="0.2"/>
  <sheetData>
    <row r="1" spans="1:4" ht="15.75" x14ac:dyDescent="0.25">
      <c r="A1" s="13" t="s">
        <v>42</v>
      </c>
      <c r="B1" s="13"/>
      <c r="C1" s="13"/>
      <c r="D1" s="13"/>
    </row>
    <row r="3" spans="1:4" ht="15" x14ac:dyDescent="0.25">
      <c r="A3" s="28" t="s">
        <v>41</v>
      </c>
      <c r="B3" s="28" t="s">
        <v>38</v>
      </c>
      <c r="C3" s="28" t="s">
        <v>39</v>
      </c>
      <c r="D3" s="28" t="s">
        <v>40</v>
      </c>
    </row>
    <row r="4" spans="1:4" x14ac:dyDescent="0.2">
      <c r="A4" s="26">
        <v>0</v>
      </c>
      <c r="B4" s="27">
        <f>HOUR(A4)</f>
        <v>0</v>
      </c>
      <c r="C4" s="27">
        <f>MINUTE(A4)</f>
        <v>0</v>
      </c>
      <c r="D4" s="27">
        <f>SECOND(A4)</f>
        <v>0</v>
      </c>
    </row>
    <row r="5" spans="1:4" x14ac:dyDescent="0.2">
      <c r="A5" s="26">
        <v>4.1666666666666699E-2</v>
      </c>
      <c r="B5" s="27">
        <f t="shared" ref="B5:B27" si="0">HOUR(A5)</f>
        <v>1</v>
      </c>
      <c r="C5" s="27">
        <f t="shared" ref="C5:C27" si="1">MINUTE(A5)</f>
        <v>0</v>
      </c>
      <c r="D5" s="27">
        <f t="shared" ref="D5:D27" si="2">SECOND(A5)</f>
        <v>0</v>
      </c>
    </row>
    <row r="6" spans="1:4" x14ac:dyDescent="0.2">
      <c r="A6" s="26">
        <v>8.3333333333333301E-2</v>
      </c>
      <c r="B6" s="27">
        <f t="shared" si="0"/>
        <v>2</v>
      </c>
      <c r="C6" s="27">
        <f t="shared" si="1"/>
        <v>0</v>
      </c>
      <c r="D6" s="27">
        <f t="shared" si="2"/>
        <v>0</v>
      </c>
    </row>
    <row r="7" spans="1:4" x14ac:dyDescent="0.2">
      <c r="A7" s="26">
        <v>0.125</v>
      </c>
      <c r="B7" s="27">
        <f t="shared" si="0"/>
        <v>3</v>
      </c>
      <c r="C7" s="27">
        <f t="shared" si="1"/>
        <v>0</v>
      </c>
      <c r="D7" s="27">
        <f t="shared" si="2"/>
        <v>0</v>
      </c>
    </row>
    <row r="8" spans="1:4" x14ac:dyDescent="0.2">
      <c r="A8" s="26">
        <v>0.16666666666666699</v>
      </c>
      <c r="B8" s="27">
        <f t="shared" si="0"/>
        <v>4</v>
      </c>
      <c r="C8" s="27">
        <f t="shared" si="1"/>
        <v>0</v>
      </c>
      <c r="D8" s="27">
        <f t="shared" si="2"/>
        <v>0</v>
      </c>
    </row>
    <row r="9" spans="1:4" x14ac:dyDescent="0.2">
      <c r="A9" s="26">
        <v>0.20833333333333301</v>
      </c>
      <c r="B9" s="27">
        <f t="shared" si="0"/>
        <v>5</v>
      </c>
      <c r="C9" s="27">
        <f t="shared" si="1"/>
        <v>0</v>
      </c>
      <c r="D9" s="27">
        <f t="shared" si="2"/>
        <v>0</v>
      </c>
    </row>
    <row r="10" spans="1:4" x14ac:dyDescent="0.2">
      <c r="A10" s="26">
        <v>0.25</v>
      </c>
      <c r="B10" s="27">
        <f t="shared" si="0"/>
        <v>6</v>
      </c>
      <c r="C10" s="27">
        <f t="shared" si="1"/>
        <v>0</v>
      </c>
      <c r="D10" s="27">
        <f t="shared" si="2"/>
        <v>0</v>
      </c>
    </row>
    <row r="11" spans="1:4" x14ac:dyDescent="0.2">
      <c r="A11" s="26">
        <v>0.29166666666666702</v>
      </c>
      <c r="B11" s="27">
        <f t="shared" si="0"/>
        <v>7</v>
      </c>
      <c r="C11" s="27">
        <f t="shared" si="1"/>
        <v>0</v>
      </c>
      <c r="D11" s="27">
        <f t="shared" si="2"/>
        <v>0</v>
      </c>
    </row>
    <row r="12" spans="1:4" x14ac:dyDescent="0.2">
      <c r="A12" s="26">
        <v>0.33333333333333298</v>
      </c>
      <c r="B12" s="27">
        <f t="shared" si="0"/>
        <v>8</v>
      </c>
      <c r="C12" s="27">
        <f t="shared" si="1"/>
        <v>0</v>
      </c>
      <c r="D12" s="27">
        <f t="shared" si="2"/>
        <v>0</v>
      </c>
    </row>
    <row r="13" spans="1:4" x14ac:dyDescent="0.2">
      <c r="A13" s="26">
        <v>0.375</v>
      </c>
      <c r="B13" s="27">
        <f t="shared" si="0"/>
        <v>9</v>
      </c>
      <c r="C13" s="27">
        <f t="shared" si="1"/>
        <v>0</v>
      </c>
      <c r="D13" s="27">
        <f t="shared" si="2"/>
        <v>0</v>
      </c>
    </row>
    <row r="14" spans="1:4" x14ac:dyDescent="0.2">
      <c r="A14" s="26">
        <v>0.41666666666666702</v>
      </c>
      <c r="B14" s="27">
        <f t="shared" si="0"/>
        <v>10</v>
      </c>
      <c r="C14" s="27">
        <f t="shared" si="1"/>
        <v>0</v>
      </c>
      <c r="D14" s="27">
        <f t="shared" si="2"/>
        <v>0</v>
      </c>
    </row>
    <row r="15" spans="1:4" x14ac:dyDescent="0.2">
      <c r="A15" s="26">
        <v>0.45833333333333298</v>
      </c>
      <c r="B15" s="27">
        <f t="shared" si="0"/>
        <v>11</v>
      </c>
      <c r="C15" s="27">
        <f t="shared" si="1"/>
        <v>0</v>
      </c>
      <c r="D15" s="27">
        <f t="shared" si="2"/>
        <v>0</v>
      </c>
    </row>
    <row r="16" spans="1:4" x14ac:dyDescent="0.2">
      <c r="A16" s="26">
        <v>0.5</v>
      </c>
      <c r="B16" s="27">
        <f t="shared" si="0"/>
        <v>12</v>
      </c>
      <c r="C16" s="27">
        <f t="shared" si="1"/>
        <v>0</v>
      </c>
      <c r="D16" s="27">
        <f t="shared" si="2"/>
        <v>0</v>
      </c>
    </row>
    <row r="17" spans="1:4" x14ac:dyDescent="0.2">
      <c r="A17" s="26">
        <v>0.54166666666666696</v>
      </c>
      <c r="B17" s="27">
        <f t="shared" si="0"/>
        <v>13</v>
      </c>
      <c r="C17" s="27">
        <f t="shared" si="1"/>
        <v>0</v>
      </c>
      <c r="D17" s="27">
        <f t="shared" si="2"/>
        <v>0</v>
      </c>
    </row>
    <row r="18" spans="1:4" x14ac:dyDescent="0.2">
      <c r="A18" s="26">
        <v>0.58333333333333304</v>
      </c>
      <c r="B18" s="27">
        <f t="shared" si="0"/>
        <v>14</v>
      </c>
      <c r="C18" s="27">
        <f t="shared" si="1"/>
        <v>0</v>
      </c>
      <c r="D18" s="27">
        <f t="shared" si="2"/>
        <v>0</v>
      </c>
    </row>
    <row r="19" spans="1:4" x14ac:dyDescent="0.2">
      <c r="A19" s="26">
        <v>0.625</v>
      </c>
      <c r="B19" s="27">
        <f t="shared" si="0"/>
        <v>15</v>
      </c>
      <c r="C19" s="27">
        <f t="shared" si="1"/>
        <v>0</v>
      </c>
      <c r="D19" s="27">
        <f t="shared" si="2"/>
        <v>0</v>
      </c>
    </row>
    <row r="20" spans="1:4" x14ac:dyDescent="0.2">
      <c r="A20" s="26">
        <v>0.66666666666666696</v>
      </c>
      <c r="B20" s="27">
        <f t="shared" si="0"/>
        <v>16</v>
      </c>
      <c r="C20" s="27">
        <f t="shared" si="1"/>
        <v>0</v>
      </c>
      <c r="D20" s="27">
        <f t="shared" si="2"/>
        <v>0</v>
      </c>
    </row>
    <row r="21" spans="1:4" x14ac:dyDescent="0.2">
      <c r="A21" s="26">
        <v>0.70833333333333304</v>
      </c>
      <c r="B21" s="27">
        <f t="shared" si="0"/>
        <v>17</v>
      </c>
      <c r="C21" s="27">
        <f t="shared" si="1"/>
        <v>0</v>
      </c>
      <c r="D21" s="27">
        <f t="shared" si="2"/>
        <v>0</v>
      </c>
    </row>
    <row r="22" spans="1:4" x14ac:dyDescent="0.2">
      <c r="A22" s="26">
        <v>0.75</v>
      </c>
      <c r="B22" s="27">
        <f t="shared" si="0"/>
        <v>18</v>
      </c>
      <c r="C22" s="27">
        <f t="shared" si="1"/>
        <v>0</v>
      </c>
      <c r="D22" s="27">
        <f t="shared" si="2"/>
        <v>0</v>
      </c>
    </row>
    <row r="23" spans="1:4" x14ac:dyDescent="0.2">
      <c r="A23" s="26">
        <v>0.79166666666666696</v>
      </c>
      <c r="B23" s="27">
        <f t="shared" si="0"/>
        <v>19</v>
      </c>
      <c r="C23" s="27">
        <f t="shared" si="1"/>
        <v>0</v>
      </c>
      <c r="D23" s="27">
        <f t="shared" si="2"/>
        <v>0</v>
      </c>
    </row>
    <row r="24" spans="1:4" x14ac:dyDescent="0.2">
      <c r="A24" s="26">
        <v>0.83333333333333304</v>
      </c>
      <c r="B24" s="27">
        <f t="shared" si="0"/>
        <v>20</v>
      </c>
      <c r="C24" s="27">
        <f t="shared" si="1"/>
        <v>0</v>
      </c>
      <c r="D24" s="27">
        <f t="shared" si="2"/>
        <v>0</v>
      </c>
    </row>
    <row r="25" spans="1:4" x14ac:dyDescent="0.2">
      <c r="A25" s="26">
        <v>0.875</v>
      </c>
      <c r="B25" s="27">
        <f t="shared" si="0"/>
        <v>21</v>
      </c>
      <c r="C25" s="27">
        <f t="shared" si="1"/>
        <v>0</v>
      </c>
      <c r="D25" s="27">
        <f t="shared" si="2"/>
        <v>0</v>
      </c>
    </row>
    <row r="26" spans="1:4" x14ac:dyDescent="0.2">
      <c r="A26" s="26">
        <v>0.91666666666666696</v>
      </c>
      <c r="B26" s="27">
        <f t="shared" si="0"/>
        <v>22</v>
      </c>
      <c r="C26" s="27">
        <f t="shared" si="1"/>
        <v>0</v>
      </c>
      <c r="D26" s="27">
        <f t="shared" si="2"/>
        <v>0</v>
      </c>
    </row>
    <row r="27" spans="1:4" x14ac:dyDescent="0.2">
      <c r="A27" s="26">
        <v>0.95833333333333304</v>
      </c>
      <c r="B27" s="27">
        <f t="shared" si="0"/>
        <v>23</v>
      </c>
      <c r="C27" s="27">
        <f t="shared" si="1"/>
        <v>0</v>
      </c>
      <c r="D27" s="27">
        <f t="shared" si="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9E43-085D-4BAC-BB96-F1302084564C}">
  <dimension ref="A1:J22"/>
  <sheetViews>
    <sheetView workbookViewId="0">
      <selection activeCell="I11" sqref="I11"/>
    </sheetView>
  </sheetViews>
  <sheetFormatPr defaultRowHeight="14.25" x14ac:dyDescent="0.2"/>
  <cols>
    <col min="1" max="1" width="31.5" bestFit="1" customWidth="1"/>
    <col min="2" max="2" width="11.875" bestFit="1" customWidth="1"/>
    <col min="3" max="3" width="9.875" bestFit="1" customWidth="1"/>
    <col min="6" max="6" width="11.875" bestFit="1" customWidth="1"/>
  </cols>
  <sheetData>
    <row r="1" spans="1:10" ht="15.75" x14ac:dyDescent="0.25">
      <c r="A1" s="13" t="s">
        <v>7</v>
      </c>
      <c r="B1" s="13"/>
      <c r="C1" s="13"/>
      <c r="D1" s="13"/>
      <c r="E1" t="s">
        <v>44</v>
      </c>
    </row>
    <row r="3" spans="1:10" x14ac:dyDescent="0.2">
      <c r="A3" s="18" t="s">
        <v>8</v>
      </c>
      <c r="B3" s="33">
        <f ca="1">TODAY()</f>
        <v>46176</v>
      </c>
      <c r="F3" t="s">
        <v>57</v>
      </c>
      <c r="G3" t="s">
        <v>58</v>
      </c>
    </row>
    <row r="4" spans="1:10" x14ac:dyDescent="0.2">
      <c r="A4" s="18" t="s">
        <v>9</v>
      </c>
      <c r="B4" s="34">
        <f ca="1">TODAY()</f>
        <v>46176</v>
      </c>
      <c r="F4" t="s">
        <v>59</v>
      </c>
      <c r="G4" t="s">
        <v>60</v>
      </c>
    </row>
    <row r="5" spans="1:10" x14ac:dyDescent="0.2">
      <c r="A5" s="18" t="s">
        <v>10</v>
      </c>
      <c r="B5" s="32">
        <f ca="1">NOW()</f>
        <v>46176.317082754627</v>
      </c>
      <c r="F5" t="s">
        <v>61</v>
      </c>
      <c r="G5" t="s">
        <v>62</v>
      </c>
    </row>
    <row r="6" spans="1:10" x14ac:dyDescent="0.2">
      <c r="F6" t="s">
        <v>63</v>
      </c>
      <c r="G6" t="s">
        <v>64</v>
      </c>
    </row>
    <row r="7" spans="1:10" x14ac:dyDescent="0.2">
      <c r="F7" t="s">
        <v>66</v>
      </c>
      <c r="G7" t="s">
        <v>65</v>
      </c>
    </row>
    <row r="8" spans="1:10" ht="15.75" x14ac:dyDescent="0.25">
      <c r="A8" s="14" t="s">
        <v>11</v>
      </c>
    </row>
    <row r="10" spans="1:10" x14ac:dyDescent="0.2">
      <c r="A10" s="18" t="s">
        <v>12</v>
      </c>
      <c r="B10" s="18" t="s">
        <v>13</v>
      </c>
      <c r="C10" s="18" t="s">
        <v>14</v>
      </c>
      <c r="D10" s="18" t="s">
        <v>15</v>
      </c>
      <c r="F10" s="2">
        <f ca="1">TODAY()</f>
        <v>46176</v>
      </c>
    </row>
    <row r="11" spans="1:10" x14ac:dyDescent="0.2">
      <c r="A11" s="15">
        <v>43834</v>
      </c>
      <c r="B11" s="16" t="s">
        <v>16</v>
      </c>
      <c r="C11" s="15">
        <v>43861</v>
      </c>
      <c r="D11" s="17">
        <v>993</v>
      </c>
      <c r="F11" s="31">
        <f ca="1">NOW()</f>
        <v>46176.317082754627</v>
      </c>
      <c r="I11">
        <v>3</v>
      </c>
      <c r="J11" t="s">
        <v>67</v>
      </c>
    </row>
    <row r="12" spans="1:10" x14ac:dyDescent="0.2">
      <c r="A12" s="15">
        <v>43876</v>
      </c>
      <c r="B12" s="16" t="s">
        <v>17</v>
      </c>
      <c r="C12" s="15">
        <v>43921</v>
      </c>
      <c r="D12" s="17">
        <v>961</v>
      </c>
    </row>
    <row r="13" spans="1:10" x14ac:dyDescent="0.2">
      <c r="A13" s="15">
        <v>43905</v>
      </c>
      <c r="B13" s="16" t="s">
        <v>18</v>
      </c>
      <c r="C13" s="15">
        <v>43951</v>
      </c>
      <c r="D13" s="17">
        <v>792</v>
      </c>
      <c r="F13">
        <f>YEAR(A11)</f>
        <v>2020</v>
      </c>
    </row>
    <row r="14" spans="1:10" x14ac:dyDescent="0.2">
      <c r="A14" s="15">
        <v>43944</v>
      </c>
      <c r="B14" s="16" t="s">
        <v>19</v>
      </c>
      <c r="C14" s="15">
        <v>43982</v>
      </c>
      <c r="D14" s="17">
        <v>938</v>
      </c>
    </row>
    <row r="15" spans="1:10" x14ac:dyDescent="0.2">
      <c r="A15" s="15">
        <v>43952</v>
      </c>
      <c r="B15" s="16" t="s">
        <v>20</v>
      </c>
      <c r="C15" s="15">
        <v>44012</v>
      </c>
      <c r="D15" s="17">
        <v>537</v>
      </c>
    </row>
    <row r="16" spans="1:10" x14ac:dyDescent="0.2">
      <c r="A16" s="15">
        <v>43990</v>
      </c>
      <c r="B16" s="16" t="s">
        <v>21</v>
      </c>
      <c r="C16" s="15">
        <v>44043</v>
      </c>
      <c r="D16" s="17">
        <v>918</v>
      </c>
    </row>
    <row r="17" spans="1:4" x14ac:dyDescent="0.2">
      <c r="A17" s="15">
        <v>44026</v>
      </c>
      <c r="B17" s="16" t="s">
        <v>22</v>
      </c>
      <c r="C17" s="15">
        <v>44074</v>
      </c>
      <c r="D17" s="17">
        <v>723</v>
      </c>
    </row>
    <row r="18" spans="1:4" x14ac:dyDescent="0.2">
      <c r="A18" s="15">
        <v>44046</v>
      </c>
      <c r="B18" s="16" t="s">
        <v>23</v>
      </c>
      <c r="C18" s="15">
        <v>44104</v>
      </c>
      <c r="D18" s="17">
        <v>515</v>
      </c>
    </row>
    <row r="19" spans="1:4" x14ac:dyDescent="0.2">
      <c r="A19" s="15">
        <v>44096</v>
      </c>
      <c r="B19" s="16" t="s">
        <v>24</v>
      </c>
      <c r="C19" s="15">
        <v>44135</v>
      </c>
      <c r="D19" s="17">
        <v>634</v>
      </c>
    </row>
    <row r="20" spans="1:4" x14ac:dyDescent="0.2">
      <c r="A20" s="15">
        <v>44114</v>
      </c>
      <c r="B20" s="16" t="s">
        <v>25</v>
      </c>
      <c r="C20" s="15">
        <v>44165</v>
      </c>
      <c r="D20" s="17">
        <v>727</v>
      </c>
    </row>
    <row r="21" spans="1:4" x14ac:dyDescent="0.2">
      <c r="A21" s="15">
        <v>44155</v>
      </c>
      <c r="B21" s="16" t="s">
        <v>26</v>
      </c>
      <c r="C21" s="15">
        <v>44196</v>
      </c>
      <c r="D21" s="17">
        <v>650</v>
      </c>
    </row>
    <row r="22" spans="1:4" x14ac:dyDescent="0.2">
      <c r="A22" s="15">
        <v>44182</v>
      </c>
      <c r="B22" s="16" t="s">
        <v>27</v>
      </c>
      <c r="C22" s="15">
        <v>44227</v>
      </c>
      <c r="D22" s="17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Date and Time</vt:lpstr>
      <vt:lpstr>Date Functions</vt:lpstr>
      <vt:lpstr>Time Functions</vt:lpstr>
      <vt:lpstr>Custom Date 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Elijah Adeniji</cp:lastModifiedBy>
  <dcterms:created xsi:type="dcterms:W3CDTF">2021-11-11T18:30:05Z</dcterms:created>
  <dcterms:modified xsi:type="dcterms:W3CDTF">2026-06-03T06:36:37Z</dcterms:modified>
</cp:coreProperties>
</file>