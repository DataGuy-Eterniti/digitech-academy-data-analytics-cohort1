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DigiTech Classes\DigiTech Excel class\"/>
    </mc:Choice>
  </mc:AlternateContent>
  <xr:revisionPtr revIDLastSave="0" documentId="13_ncr:1_{A8516CBE-47CD-433A-B26C-C46BA7DD4244}" xr6:coauthVersionLast="47" xr6:coauthVersionMax="47" xr10:uidLastSave="{00000000-0000-0000-0000-000000000000}"/>
  <bookViews>
    <workbookView xWindow="-120" yWindow="-120" windowWidth="20730" windowHeight="11160" activeTab="5" xr2:uid="{FBD35164-CD38-4866-A1B7-2E6AA19C0E9A}"/>
  </bookViews>
  <sheets>
    <sheet name="Summary" sheetId="3" r:id="rId1"/>
    <sheet name="Text Cleaning" sheetId="2" r:id="rId2"/>
    <sheet name="Cleaning 1" sheetId="5" r:id="rId3"/>
    <sheet name="Flash Fill" sheetId="1" r:id="rId4"/>
    <sheet name="IF AND OR" sheetId="6" r:id="rId5"/>
    <sheet name="Named Ranges" sheetId="4" r:id="rId6"/>
  </sheets>
  <definedNames>
    <definedName name="Price_Per_Unit">'Named Ranges'!$E$4:$E$17</definedName>
    <definedName name="Quantity">'Named Ranges'!$D$4:$D$17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7" i="6" l="1"/>
  <c r="AB16" i="6"/>
  <c r="AB15" i="6"/>
  <c r="AA16" i="6"/>
  <c r="AA17" i="6"/>
  <c r="AA15" i="6"/>
  <c r="Y7" i="6"/>
  <c r="Y6" i="6"/>
  <c r="Y5" i="6"/>
  <c r="Y4" i="6"/>
  <c r="U5" i="6"/>
  <c r="U6" i="6"/>
  <c r="U7" i="6"/>
  <c r="U8" i="6"/>
  <c r="U9" i="6"/>
  <c r="U10" i="6"/>
  <c r="U11" i="6"/>
  <c r="U12" i="6"/>
  <c r="U13" i="6"/>
  <c r="U14" i="6"/>
  <c r="U15" i="6"/>
  <c r="U16" i="6"/>
  <c r="U17" i="6"/>
  <c r="U18" i="6"/>
  <c r="U19" i="6"/>
  <c r="U20" i="6"/>
  <c r="U21" i="6"/>
  <c r="U22" i="6"/>
  <c r="U23" i="6"/>
  <c r="U24" i="6"/>
  <c r="U25" i="6"/>
  <c r="U26" i="6"/>
  <c r="U27" i="6"/>
  <c r="U28" i="6"/>
  <c r="U29" i="6"/>
  <c r="U4" i="6"/>
  <c r="V5" i="6"/>
  <c r="V6" i="6"/>
  <c r="V7" i="6"/>
  <c r="V8" i="6"/>
  <c r="V9" i="6"/>
  <c r="V10" i="6"/>
  <c r="V11" i="6"/>
  <c r="V12" i="6"/>
  <c r="V13" i="6"/>
  <c r="V14" i="6"/>
  <c r="V15" i="6"/>
  <c r="V16" i="6"/>
  <c r="V17" i="6"/>
  <c r="V18" i="6"/>
  <c r="V19" i="6"/>
  <c r="V20" i="6"/>
  <c r="V21" i="6"/>
  <c r="V22" i="6"/>
  <c r="V23" i="6"/>
  <c r="V24" i="6"/>
  <c r="V25" i="6"/>
  <c r="V26" i="6"/>
  <c r="V27" i="6"/>
  <c r="V28" i="6"/>
  <c r="V29" i="6"/>
  <c r="V4"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H8" i="6"/>
  <c r="H5" i="6"/>
  <c r="H6" i="6"/>
  <c r="H7" i="6"/>
  <c r="H9" i="6"/>
  <c r="H10" i="6"/>
  <c r="H11" i="6"/>
  <c r="H12" i="6"/>
  <c r="H13" i="6"/>
  <c r="H14" i="6"/>
  <c r="H15" i="6"/>
  <c r="H16" i="6"/>
  <c r="H17" i="6"/>
  <c r="H18" i="6"/>
  <c r="H19" i="6"/>
  <c r="H20" i="6"/>
  <c r="H21" i="6"/>
  <c r="H22" i="6"/>
  <c r="H23" i="6"/>
  <c r="H24" i="6"/>
  <c r="H25" i="6"/>
  <c r="H26" i="6"/>
  <c r="H4" i="6"/>
  <c r="H3" i="6"/>
  <c r="G4" i="6"/>
  <c r="G5" i="6"/>
  <c r="G6" i="6"/>
  <c r="G7" i="6"/>
  <c r="G8" i="6"/>
  <c r="G9" i="6"/>
  <c r="G10" i="6"/>
  <c r="G11" i="6"/>
  <c r="G12" i="6"/>
  <c r="G13" i="6"/>
  <c r="G14" i="6"/>
  <c r="G15" i="6"/>
  <c r="G16" i="6"/>
  <c r="G17" i="6"/>
  <c r="G18" i="6"/>
  <c r="G19" i="6"/>
  <c r="G20" i="6"/>
  <c r="G21" i="6"/>
  <c r="G22" i="6"/>
  <c r="G23" i="6"/>
  <c r="G24" i="6"/>
  <c r="G25" i="6"/>
  <c r="G26" i="6"/>
  <c r="G6" i="1"/>
  <c r="G7" i="1"/>
  <c r="G8" i="1"/>
  <c r="G9" i="1"/>
  <c r="G10" i="1"/>
  <c r="G11" i="1"/>
  <c r="G12" i="1"/>
  <c r="G13" i="1"/>
  <c r="G14" i="1"/>
  <c r="G15" i="1"/>
  <c r="G16" i="1"/>
  <c r="G17" i="1"/>
  <c r="G5" i="1"/>
  <c r="D6" i="1"/>
  <c r="D7" i="1"/>
  <c r="D8" i="1"/>
  <c r="D9" i="1"/>
  <c r="D10" i="1"/>
  <c r="D11" i="1"/>
  <c r="D12" i="1"/>
  <c r="D13" i="1"/>
  <c r="D14" i="1"/>
  <c r="D15" i="1"/>
  <c r="D16" i="1"/>
  <c r="D17" i="1"/>
  <c r="B5" i="1"/>
  <c r="D5" i="1"/>
  <c r="C6" i="1"/>
  <c r="C7" i="1"/>
  <c r="C8" i="1"/>
  <c r="C9" i="1"/>
  <c r="C10" i="1"/>
  <c r="C11" i="1"/>
  <c r="C12" i="1"/>
  <c r="C13" i="1"/>
  <c r="C14" i="1"/>
  <c r="C15" i="1"/>
  <c r="C16" i="1"/>
  <c r="C17" i="1"/>
  <c r="C5" i="1"/>
  <c r="G3" i="6"/>
  <c r="U3" i="6"/>
  <c r="V3" i="6"/>
  <c r="Y9" i="6"/>
  <c r="B6" i="1"/>
  <c r="B7" i="1"/>
  <c r="B8" i="1"/>
  <c r="B9" i="1"/>
  <c r="B10" i="1"/>
  <c r="B11" i="1"/>
  <c r="B12" i="1"/>
  <c r="B13" i="1"/>
  <c r="B14" i="1"/>
  <c r="B15" i="1"/>
  <c r="B16" i="1"/>
  <c r="B17" i="1"/>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4" i="5"/>
  <c r="Y11" i="6" l="1"/>
  <c r="Y10" i="6" l="1"/>
</calcChain>
</file>

<file path=xl/sharedStrings.xml><?xml version="1.0" encoding="utf-8"?>
<sst xmlns="http://schemas.openxmlformats.org/spreadsheetml/2006/main" count="302" uniqueCount="217">
  <si>
    <t>Flash Fill</t>
  </si>
  <si>
    <t>Deborah Ashby</t>
  </si>
  <si>
    <t>Adam Lacey</t>
  </si>
  <si>
    <t>Ben Lee</t>
  </si>
  <si>
    <t>Sarah Jones</t>
  </si>
  <si>
    <t>Olivia Green</t>
  </si>
  <si>
    <t>Ming Sia</t>
  </si>
  <si>
    <t>David Patterson</t>
  </si>
  <si>
    <t>Chloe Newbury</t>
  </si>
  <si>
    <t>Martin Waters</t>
  </si>
  <si>
    <t>Julie Tavistock</t>
  </si>
  <si>
    <t>Kurt Webster</t>
  </si>
  <si>
    <t>Lucy Matthews</t>
  </si>
  <si>
    <t>Pedro Costa</t>
  </si>
  <si>
    <t>Full Name</t>
  </si>
  <si>
    <t>First Name</t>
  </si>
  <si>
    <t>Last Name</t>
  </si>
  <si>
    <t>Email Address</t>
  </si>
  <si>
    <t xml:space="preserve">Long Order No. </t>
  </si>
  <si>
    <t xml:space="preserve">Short Order No. </t>
  </si>
  <si>
    <t>Product Name</t>
  </si>
  <si>
    <t>GreenTrousers-498</t>
  </si>
  <si>
    <t>YellowTie-289</t>
  </si>
  <si>
    <t>BrownBoots-290</t>
  </si>
  <si>
    <t>PurpleSocks-120</t>
  </si>
  <si>
    <t>Color</t>
  </si>
  <si>
    <t>Product</t>
  </si>
  <si>
    <t>Item Code</t>
  </si>
  <si>
    <t>RedShirt-123</t>
  </si>
  <si>
    <t>ORD-123</t>
  </si>
  <si>
    <t>ORD-124</t>
  </si>
  <si>
    <t>ORD-125</t>
  </si>
  <si>
    <t>ORD-126</t>
  </si>
  <si>
    <t>ORD-127</t>
  </si>
  <si>
    <t>ORD-128</t>
  </si>
  <si>
    <t>ORD-129</t>
  </si>
  <si>
    <t>ORD-130</t>
  </si>
  <si>
    <t>ORD-131</t>
  </si>
  <si>
    <t>ORD-132</t>
  </si>
  <si>
    <t>ORD-133</t>
  </si>
  <si>
    <t>ORD-134</t>
  </si>
  <si>
    <t>ORD-135</t>
  </si>
  <si>
    <t>product_name</t>
  </si>
  <si>
    <t>category</t>
  </si>
  <si>
    <t>discounted_price</t>
  </si>
  <si>
    <t>Wayona Nylon Braided USB to Lightning Fast Charging and Data Sync Cable Compatible for iPhone 13, 12,11, X, 8, 7, 6, 5, iPad Air, Pro, Mini (3 FT Pack of 1, Grey)</t>
  </si>
  <si>
    <t>Computers&amp;Accessories|Accessories&amp;Peripherals|Cables&amp;Accessories|Cables|USBCables</t>
  </si>
  <si>
    <t>Ambrane Unbreakable 60W / 3A Fast Charging 1.5m Braided Type C Cable for Smartphones, Tablets, Laptops &amp; other Type C devices, PD Technology, 480Mbps Data Sync, Quick Charge 3.0 (RCT15A, Black)</t>
  </si>
  <si>
    <t>Sounce Fast Phone Charging Cable &amp; Data Sync USB Cable Compatible for iPhone 13, 12,11, X, 8, 7, 6, 5, iPad Air, Pro, Mini &amp; iOS Devices</t>
  </si>
  <si>
    <t>boAt Deuce USB 300 2 in 1 Type-C &amp; Micro USB Stress Resistant, Tangle-Free, Sturdy Cable with 3A Fast Charging &amp; 480mbps Data Transmission, 10000+ Bends Lifespan and Extended 1.5m Length(Martian Red)</t>
  </si>
  <si>
    <t>Portronics Konnect L 1.2M Fast Charging 3A 8 Pin USB Cable with Charge &amp; Sync Function for iPhone, iPad (Grey)</t>
  </si>
  <si>
    <t>pTron Solero TB301 3A Type-C Data and Fast Charging Cable, Made in India, 480Mbps Data Sync, Strong and Durable 1.5-Meter Nylon Braided USB Cable for Type-C Devices for Charging Adapter (Black)</t>
  </si>
  <si>
    <t>boAt Micro USB 55 Tangle-free, Sturdy Micro USB Cable with 3A Fast Charging &amp; 480mbps Data Transmission (Black)</t>
  </si>
  <si>
    <t>MI Usb Type-C Cable Smartphone (Black)</t>
  </si>
  <si>
    <t>TP-Link USB WiFi Adapter for PC(TL-WN725N), N150 Wireless Network Adapter for Desktop - Nano Size WiFi Dongle Compatible with Windows 11/10/7/8/8.1/XP/ Mac OS 10.9-10.15 Linux Kernel 2.6.18-4.4.3</t>
  </si>
  <si>
    <t>Computers&amp;Accessories|NetworkingDevices|NetworkAdapters|WirelessUSBAdapters</t>
  </si>
  <si>
    <t>Ambrane Unbreakable 60W / 3A Fast Charging 1.5m Braided Micro USB Cable for Smartphones, Tablets, Laptops &amp; Other Micro USB Devices, 480Mbps Data Sync, Quick Charge 3.0 (RCM15, Black)</t>
  </si>
  <si>
    <t>Portronics Konnect L POR-1081 Fast Charging 3A Type-C Cable 1.2Meter with Charge &amp; Sync Function for All Type-C Devices (Grey)</t>
  </si>
  <si>
    <t>boAt Rugged v3 Extra Tough Unbreakable Braided Micro USB Cable 1.5 Meter (Black)</t>
  </si>
  <si>
    <t>AmazonBasics Flexible Premium HDMI Cable (Black, 4K@60Hz, 18Gbps), 3-Foot</t>
  </si>
  <si>
    <t>Electronics|HomeTheater,TV&amp;Video|Accessories|Cables|HDMICables</t>
  </si>
  <si>
    <t>Portronics Konnect CL 20W POR-1067 Type-C to 8 Pin USB 1.2M Cable with Power Delivery &amp; 3A Quick Charge Support, Nylon Braided for All Type-C and 8 Pin Devices, Green</t>
  </si>
  <si>
    <t>Portronics Konnect L 1.2M POR-1401 Fast Charging 3A 8 Pin USB Cable with Charge &amp; Sync Function (White)</t>
  </si>
  <si>
    <t>MI Braided USB Type-C Cable for Charging Adapter (Red)</t>
  </si>
  <si>
    <t>MI 80 cm (32 inches) 5A Series HD Ready Smart Android LED TV L32M7-5AIN (Black)</t>
  </si>
  <si>
    <t>Electronics|HomeTheater,TV&amp;Video|Televisions|SmartTelevisions</t>
  </si>
  <si>
    <t>Ambrane Unbreakable 60W / 3A Fast Charging 1.5m Braided Type C to Type C Cable for Smartphones, Tablets, Laptops &amp; Other Type C Devices, PD Technology, 480Mbps Data Sync (RCTT15, Black)</t>
  </si>
  <si>
    <t>boAt Type C A325 Tangle-free, Sturdy Type C Cable with 3A Rapid Charging &amp; 480mbps Data Transmission(Black)</t>
  </si>
  <si>
    <t>LG 80 cm (32 inches) HD Ready Smart LED TV 32LM563BPTC (Dark Iron Gray)</t>
  </si>
  <si>
    <t>Duracell USB Lightning Apple Certified (Mfi) Braided Sync &amp; Charge Cable For Iphone, Ipad And Ipod. Fast Charging Lightning Cable, 3.9 Feet (1.2M) - Black</t>
  </si>
  <si>
    <t>tizum HDMI to VGA Adapter Cable 1080P for Projector, Computer, Laptop, TV, Projectors &amp; TV</t>
  </si>
  <si>
    <t>Samsung 80 cm (32 Inches) Wondertainment Series HD Ready LED Smart TV UA32T4340BKXXL (Glossy Black)</t>
  </si>
  <si>
    <t>Flix Micro Usb Cable For Smartphone (Black)</t>
  </si>
  <si>
    <t>Acer 80 cm (32 inches) I Series HD Ready Android Smart LED TV AR32AR2841HDFL (Black)</t>
  </si>
  <si>
    <t>Tizum High Speed HDMI Cable with Ethernet | Supports 3D 4K | for All HDMI Devices Laptop Computer Gaming Console TV Set Top Box (1.5 Meter/ 5 Feet)</t>
  </si>
  <si>
    <t>OnePlus 80 cm (32 inches) Y Series HD Ready LED Smart Android TV 32Y1 (Black)</t>
  </si>
  <si>
    <t>Ambrane Unbreakable 3 in 1 Fast Charging Braided Multipurpose Cable for Speaker with 2.1 A Speed - 1.25 meter, Black</t>
  </si>
  <si>
    <t>Duracell USB C To Lightning Apple Certified (Mfi) Braided Sync &amp; Charge Cable For Iphone, Ipad And Ipod. Fast Charging Lightning Cable, 3.9 Feet (1.2M) - Black</t>
  </si>
  <si>
    <t xml:space="preserve">Navigating Excel: workbooks, worksheets, cells, rows, and columns </t>
  </si>
  <si>
    <t>Essential formulas and functions PRT I</t>
  </si>
  <si>
    <t>DAY 1 OBJECTIVES D</t>
  </si>
  <si>
    <t>Text Cleaning</t>
  </si>
  <si>
    <t>Flash fills</t>
  </si>
  <si>
    <t>Nesting Function</t>
  </si>
  <si>
    <t>Concatenations</t>
  </si>
  <si>
    <t>Order #</t>
  </si>
  <si>
    <t>Customer</t>
  </si>
  <si>
    <t>Quantity</t>
  </si>
  <si>
    <t>Price Per Unit</t>
  </si>
  <si>
    <t>Total</t>
  </si>
  <si>
    <t>Average Quantity</t>
  </si>
  <si>
    <t>Staples</t>
  </si>
  <si>
    <t>No. of Orders</t>
  </si>
  <si>
    <t>WH Smith</t>
  </si>
  <si>
    <t>Minimum Sales</t>
  </si>
  <si>
    <t>The Art Supply Store</t>
  </si>
  <si>
    <t>Maximum Sales</t>
  </si>
  <si>
    <t>Brush Strokes</t>
  </si>
  <si>
    <t>Total Sales</t>
  </si>
  <si>
    <t>Crafty Business</t>
  </si>
  <si>
    <t>Pens and Things</t>
  </si>
  <si>
    <t>Color Me Silly</t>
  </si>
  <si>
    <t>Sketch &amp; Co</t>
  </si>
  <si>
    <t>The Desinger Centre</t>
  </si>
  <si>
    <t>Waterstones</t>
  </si>
  <si>
    <t>Painterly</t>
  </si>
  <si>
    <t>J Howard and Sons</t>
  </si>
  <si>
    <t>Art Attack</t>
  </si>
  <si>
    <t>Doodles</t>
  </si>
  <si>
    <t>Creating and Using Named Ranges</t>
  </si>
  <si>
    <t>Create the Range in Excel file 2</t>
  </si>
  <si>
    <t xml:space="preserve">Wayona </t>
  </si>
  <si>
    <t xml:space="preserve">Ambrane </t>
  </si>
  <si>
    <t xml:space="preserve">Sounce </t>
  </si>
  <si>
    <t xml:space="preserve">boAt </t>
  </si>
  <si>
    <t xml:space="preserve">Portronics </t>
  </si>
  <si>
    <t xml:space="preserve">pTron </t>
  </si>
  <si>
    <t xml:space="preserve">MI </t>
  </si>
  <si>
    <t xml:space="preserve">TP-Link </t>
  </si>
  <si>
    <t xml:space="preserve">AmazonBasics </t>
  </si>
  <si>
    <t xml:space="preserve">LG </t>
  </si>
  <si>
    <t xml:space="preserve">Duracell </t>
  </si>
  <si>
    <t xml:space="preserve">tizum </t>
  </si>
  <si>
    <t xml:space="preserve">Samsung </t>
  </si>
  <si>
    <t xml:space="preserve">Flix </t>
  </si>
  <si>
    <t xml:space="preserve">Acer </t>
  </si>
  <si>
    <t xml:space="preserve">Tizum </t>
  </si>
  <si>
    <t xml:space="preserve">OnePlus </t>
  </si>
  <si>
    <t>Category</t>
  </si>
  <si>
    <t>Computers&amp;Accessories|</t>
  </si>
  <si>
    <t>Electronics|</t>
  </si>
  <si>
    <t>UPPER</t>
  </si>
  <si>
    <t xml:space="preserve">LOWER </t>
  </si>
  <si>
    <t>TRIM</t>
  </si>
  <si>
    <t>PROPER</t>
  </si>
  <si>
    <t>Computers&amp;          Accessories|</t>
  </si>
  <si>
    <t>Electronics+B2|</t>
  </si>
  <si>
    <t>Computers   &amp;Accessories|</t>
  </si>
  <si>
    <t>Computers&amp;Accessories    |</t>
  </si>
  <si>
    <t>Using OR fxn</t>
  </si>
  <si>
    <t>using AND fxn</t>
  </si>
  <si>
    <t>NAME</t>
  </si>
  <si>
    <t>Score 1</t>
  </si>
  <si>
    <t>Score 2</t>
  </si>
  <si>
    <t>score 3</t>
  </si>
  <si>
    <t>score 4</t>
  </si>
  <si>
    <t>total</t>
  </si>
  <si>
    <t>result</t>
  </si>
  <si>
    <t>Customer age</t>
  </si>
  <si>
    <t>Age Group</t>
  </si>
  <si>
    <t>Name</t>
  </si>
  <si>
    <t>English</t>
  </si>
  <si>
    <t>Mathematics</t>
  </si>
  <si>
    <t>Remarks</t>
  </si>
  <si>
    <t>Den</t>
  </si>
  <si>
    <t>Williams</t>
  </si>
  <si>
    <t>Rukkayat</t>
  </si>
  <si>
    <t>Ife</t>
  </si>
  <si>
    <t>AND PROMOTED</t>
  </si>
  <si>
    <t>Kunle</t>
  </si>
  <si>
    <t>12=19</t>
  </si>
  <si>
    <t xml:space="preserve">Teenager </t>
  </si>
  <si>
    <t>Marvelous</t>
  </si>
  <si>
    <t>OR PROOTED</t>
  </si>
  <si>
    <t>20 = 35</t>
  </si>
  <si>
    <t xml:space="preserve">Youth </t>
  </si>
  <si>
    <t>Nikky</t>
  </si>
  <si>
    <t>AND FAIL</t>
  </si>
  <si>
    <t>36 = 45</t>
  </si>
  <si>
    <t xml:space="preserve">Young Adult </t>
  </si>
  <si>
    <t>Taiwo</t>
  </si>
  <si>
    <t>OR FAIL</t>
  </si>
  <si>
    <t>46 = 55</t>
  </si>
  <si>
    <t xml:space="preserve">Adult </t>
  </si>
  <si>
    <t>Blessing</t>
  </si>
  <si>
    <t>56 = 70</t>
  </si>
  <si>
    <t xml:space="preserve">Elder </t>
  </si>
  <si>
    <t>Joshua</t>
  </si>
  <si>
    <t>Total number of student</t>
  </si>
  <si>
    <t xml:space="preserve">Senior Citizen </t>
  </si>
  <si>
    <t>Emeka</t>
  </si>
  <si>
    <t>OR count</t>
  </si>
  <si>
    <t>John</t>
  </si>
  <si>
    <t>AND count</t>
  </si>
  <si>
    <t>ayodeji</t>
  </si>
  <si>
    <t>segun</t>
  </si>
  <si>
    <t>aladelola</t>
  </si>
  <si>
    <t>0=39</t>
  </si>
  <si>
    <t>Fail</t>
  </si>
  <si>
    <t>Grace</t>
  </si>
  <si>
    <t>40 = 49</t>
  </si>
  <si>
    <t xml:space="preserve">fair </t>
  </si>
  <si>
    <t>Joy</t>
  </si>
  <si>
    <t>50 - 59</t>
  </si>
  <si>
    <t xml:space="preserve">average </t>
  </si>
  <si>
    <t>Micheal</t>
  </si>
  <si>
    <t>60 = 69</t>
  </si>
  <si>
    <t xml:space="preserve">good </t>
  </si>
  <si>
    <t>olaife</t>
  </si>
  <si>
    <t>70 - 79</t>
  </si>
  <si>
    <t>v.good</t>
  </si>
  <si>
    <t>samuel</t>
  </si>
  <si>
    <t>80 - 100</t>
  </si>
  <si>
    <t>excellent</t>
  </si>
  <si>
    <t>busola</t>
  </si>
  <si>
    <t>OLANIYI</t>
  </si>
  <si>
    <t>muhammed</t>
  </si>
  <si>
    <t>muyiwa</t>
  </si>
  <si>
    <t>solape</t>
  </si>
  <si>
    <t>Dare</t>
  </si>
  <si>
    <t>Felix</t>
  </si>
  <si>
    <t>Bayo</t>
  </si>
  <si>
    <t>Jeremiah</t>
  </si>
  <si>
    <t>and</t>
  </si>
  <si>
    <t>or</t>
  </si>
  <si>
    <t>FALSE =0</t>
  </si>
  <si>
    <t>TRUE = Non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</si>
</sst>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_);_(* \(#,##0\);_(* &quot;-&quot;??_);_(@_)"/>
    <numFmt numFmtId="165" formatCode="_-&quot;£&quot;* #,##0.00_-;\-&quot;£&quot;* #,##0.00_-;_-&quot;£&quot;* &quot;-&quot;??_-;_-@_-"/>
    <numFmt numFmtId="166" formatCode="[$-F400]h:mm:ss\ AM/PM"/>
    <numFmt numFmtId="171" formatCode="_-[$₦-468]\ * #,##0.00_-;\-[$₦-468]\ * #,##0.00_-;_-[$₦-468]\ * &quot;-&quot;??_-;_-@_-"/>
  </numFmts>
  <fonts count="12" x14ac:knownFonts="1">
    <font>
      <sz val="11"/>
      <color theme="1"/>
      <name val="Arial"/>
      <family val="2"/>
    </font>
    <font>
      <sz val="11"/>
      <color theme="1"/>
      <name val="Calibri"/>
      <family val="2"/>
      <scheme val="minor"/>
    </font>
    <font>
      <b/>
      <sz val="11"/>
      <color theme="1"/>
      <name val="Arial"/>
      <family val="2"/>
    </font>
    <font>
      <sz val="8"/>
      <name val="Arial"/>
      <family val="2"/>
    </font>
    <font>
      <u/>
      <sz val="11"/>
      <color theme="10"/>
      <name val="Arial"/>
      <family val="2"/>
    </font>
    <font>
      <sz val="11"/>
      <color theme="1"/>
      <name val="Arial"/>
      <family val="2"/>
    </font>
    <font>
      <sz val="11"/>
      <color theme="0"/>
      <name val="Calibri"/>
      <family val="2"/>
      <scheme val="minor"/>
    </font>
    <font>
      <sz val="16"/>
      <color theme="1"/>
      <name val="Algerian"/>
      <family val="5"/>
    </font>
    <font>
      <sz val="7"/>
      <color theme="1"/>
      <name val="Times New Roman"/>
      <family val="1"/>
    </font>
    <font>
      <sz val="12"/>
      <color theme="1"/>
      <name val="Times New Roman"/>
      <family val="1"/>
    </font>
    <font>
      <b/>
      <sz val="11"/>
      <color theme="1"/>
      <name val="Calibri"/>
      <family val="2"/>
    </font>
    <font>
      <sz val="11"/>
      <color theme="1"/>
      <name val="Calibri"/>
      <family val="2"/>
    </font>
  </fonts>
  <fills count="9">
    <fill>
      <patternFill patternType="none"/>
    </fill>
    <fill>
      <patternFill patternType="gray125"/>
    </fill>
    <fill>
      <patternFill patternType="solid">
        <fgColor theme="8" tint="0.79998168889431442"/>
        <bgColor indexed="64"/>
      </patternFill>
    </fill>
    <fill>
      <patternFill patternType="solid">
        <fgColor rgb="FFFF6600"/>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rgb="FF00B050"/>
        <bgColor rgb="FF00B050"/>
      </patternFill>
    </fill>
    <fill>
      <patternFill patternType="solid">
        <fgColor theme="0"/>
        <bgColor theme="0"/>
      </patternFill>
    </fill>
  </fills>
  <borders count="4">
    <border>
      <left/>
      <right/>
      <top/>
      <bottom/>
      <diagonal/>
    </border>
    <border>
      <left/>
      <right/>
      <top/>
      <bottom style="thin">
        <color theme="1" tint="0.34998626667073579"/>
      </bottom>
      <diagonal/>
    </border>
    <border>
      <left/>
      <right/>
      <top style="thin">
        <color rgb="FF7030A0"/>
      </top>
      <bottom style="thin">
        <color rgb="FF7030A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4">
    <xf numFmtId="0" fontId="0" fillId="0" borderId="0"/>
    <xf numFmtId="0" fontId="4" fillId="0" borderId="0" applyNumberFormat="0" applyFill="0" applyBorder="0" applyAlignment="0" applyProtection="0"/>
    <xf numFmtId="43" fontId="5" fillId="0" borderId="0" applyFont="0" applyFill="0" applyBorder="0" applyAlignment="0" applyProtection="0"/>
    <xf numFmtId="44" fontId="5" fillId="0" borderId="0" applyFont="0" applyFill="0" applyBorder="0" applyAlignment="0" applyProtection="0"/>
  </cellStyleXfs>
  <cellXfs count="30">
    <xf numFmtId="0" fontId="0" fillId="0" borderId="0" xfId="0"/>
    <xf numFmtId="0" fontId="2" fillId="0" borderId="1" xfId="0" applyFont="1" applyBorder="1" applyAlignment="1">
      <alignment vertical="center"/>
    </xf>
    <xf numFmtId="0" fontId="0" fillId="2" borderId="2" xfId="0" applyFill="1" applyBorder="1"/>
    <xf numFmtId="0" fontId="0" fillId="0" borderId="0" xfId="0" applyNumberFormat="1"/>
    <xf numFmtId="0" fontId="0" fillId="2" borderId="0" xfId="0" applyFill="1" applyBorder="1"/>
    <xf numFmtId="0" fontId="4" fillId="0" borderId="0" xfId="1"/>
    <xf numFmtId="3" fontId="0" fillId="0" borderId="0" xfId="0" applyNumberFormat="1"/>
    <xf numFmtId="0" fontId="7" fillId="3" borderId="0" xfId="0" applyFont="1" applyFill="1"/>
    <xf numFmtId="0" fontId="0" fillId="3" borderId="0" xfId="0" applyFill="1"/>
    <xf numFmtId="0" fontId="7" fillId="3" borderId="0" xfId="0" applyFont="1" applyFill="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6" fillId="4" borderId="3" xfId="0" applyFont="1" applyFill="1" applyBorder="1"/>
    <xf numFmtId="0" fontId="6" fillId="5" borderId="3" xfId="0" applyFont="1" applyFill="1" applyBorder="1"/>
    <xf numFmtId="18" fontId="6" fillId="5" borderId="3" xfId="0" applyNumberFormat="1" applyFont="1" applyFill="1" applyBorder="1"/>
    <xf numFmtId="164" fontId="0" fillId="0" borderId="3" xfId="0" applyNumberFormat="1" applyBorder="1"/>
    <xf numFmtId="0" fontId="0" fillId="0" borderId="3" xfId="0" applyBorder="1"/>
    <xf numFmtId="164" fontId="0" fillId="0" borderId="3" xfId="2" applyNumberFormat="1" applyFont="1" applyBorder="1"/>
    <xf numFmtId="165" fontId="0" fillId="0" borderId="3" xfId="3" applyNumberFormat="1" applyFont="1" applyBorder="1"/>
    <xf numFmtId="165" fontId="0" fillId="6" borderId="3" xfId="0" applyNumberFormat="1" applyFill="1" applyBorder="1"/>
    <xf numFmtId="165" fontId="0" fillId="0" borderId="3" xfId="0" applyNumberFormat="1" applyBorder="1"/>
    <xf numFmtId="166" fontId="0" fillId="0" borderId="0" xfId="0" applyNumberFormat="1"/>
    <xf numFmtId="171" fontId="0" fillId="0" borderId="0" xfId="0" applyNumberFormat="1"/>
    <xf numFmtId="0" fontId="10" fillId="7" borderId="0" xfId="0" applyFont="1" applyFill="1"/>
    <xf numFmtId="0" fontId="10" fillId="0" borderId="0" xfId="0" applyFont="1"/>
    <xf numFmtId="0" fontId="11" fillId="7" borderId="0" xfId="0" applyFont="1" applyFill="1"/>
    <xf numFmtId="0" fontId="1" fillId="0" borderId="0" xfId="0" applyFont="1"/>
    <xf numFmtId="0" fontId="1" fillId="0" borderId="0" xfId="0" applyFont="1" applyAlignment="1">
      <alignment horizontal="left"/>
    </xf>
    <xf numFmtId="0" fontId="11" fillId="8" borderId="0" xfId="0" applyFont="1" applyFill="1"/>
    <xf numFmtId="0" fontId="0" fillId="0" borderId="0" xfId="0" applyAlignment="1">
      <alignment horizontal="left"/>
    </xf>
  </cellXfs>
  <cellStyles count="4">
    <cellStyle name="Comma" xfId="2" builtinId="3"/>
    <cellStyle name="Currency" xfId="3"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19050</xdr:rowOff>
    </xdr:from>
    <xdr:to>
      <xdr:col>4</xdr:col>
      <xdr:colOff>9525</xdr:colOff>
      <xdr:row>3</xdr:row>
      <xdr:rowOff>176496</xdr:rowOff>
    </xdr:to>
    <xdr:pic>
      <xdr:nvPicPr>
        <xdr:cNvPr id="2" name="Picture 1">
          <a:extLst>
            <a:ext uri="{FF2B5EF4-FFF2-40B4-BE49-F238E27FC236}">
              <a16:creationId xmlns:a16="http://schemas.microsoft.com/office/drawing/2014/main" id="{8D20B6C2-ACD8-4907-8942-94FEB1A8807C}"/>
            </a:ext>
          </a:extLst>
        </xdr:cNvPr>
        <xdr:cNvPicPr>
          <a:picLocks noChangeAspect="1"/>
        </xdr:cNvPicPr>
      </xdr:nvPicPr>
      <xdr:blipFill>
        <a:blip xmlns:r="http://schemas.openxmlformats.org/officeDocument/2006/relationships" r:embed="rId1"/>
        <a:stretch>
          <a:fillRect/>
        </a:stretch>
      </xdr:blipFill>
      <xdr:spPr>
        <a:xfrm>
          <a:off x="685800" y="19050"/>
          <a:ext cx="2066925" cy="7003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C79D-BD56-4C65-841F-76399BE2AEF1}">
  <dimension ref="B5:L11"/>
  <sheetViews>
    <sheetView showGridLines="0" workbookViewId="0">
      <pane xSplit="12" ySplit="7" topLeftCell="XEY8" activePane="bottomRight" state="frozen"/>
      <selection pane="topRight" activeCell="M1" sqref="M1"/>
      <selection pane="bottomLeft" activeCell="A8" sqref="A8"/>
      <selection pane="bottomRight" activeCell="J3" sqref="J3"/>
    </sheetView>
  </sheetViews>
  <sheetFormatPr defaultRowHeight="14.25" x14ac:dyDescent="0.2"/>
  <sheetData>
    <row r="5" spans="2:12" ht="21.75" x14ac:dyDescent="0.35">
      <c r="B5" s="7" t="s">
        <v>80</v>
      </c>
      <c r="C5" s="7"/>
      <c r="D5" s="7"/>
      <c r="E5" s="7"/>
      <c r="F5" s="7"/>
      <c r="G5" s="7"/>
      <c r="H5" s="8"/>
      <c r="I5" s="8"/>
      <c r="J5" s="8"/>
      <c r="K5" s="8"/>
      <c r="L5" s="8"/>
    </row>
    <row r="6" spans="2:12" ht="21.75" x14ac:dyDescent="0.2">
      <c r="B6" s="9" t="s">
        <v>78</v>
      </c>
      <c r="C6" s="9"/>
      <c r="D6" s="9"/>
      <c r="E6" s="9"/>
      <c r="F6" s="9"/>
      <c r="G6" s="9"/>
      <c r="H6" s="10"/>
      <c r="I6" s="10"/>
      <c r="J6" s="8"/>
      <c r="K6" s="8"/>
      <c r="L6" s="8"/>
    </row>
    <row r="7" spans="2:12" ht="21.75" x14ac:dyDescent="0.2">
      <c r="B7" s="9" t="s">
        <v>79</v>
      </c>
      <c r="C7" s="9"/>
      <c r="D7" s="9"/>
      <c r="E7" s="9"/>
      <c r="F7" s="9"/>
      <c r="G7" s="9"/>
      <c r="H7" s="11"/>
      <c r="I7" s="11"/>
      <c r="J7" s="8"/>
      <c r="K7" s="8"/>
      <c r="L7" s="8"/>
    </row>
    <row r="8" spans="2:12" x14ac:dyDescent="0.2">
      <c r="B8" t="s">
        <v>81</v>
      </c>
    </row>
    <row r="9" spans="2:12" x14ac:dyDescent="0.2">
      <c r="B9" t="s">
        <v>82</v>
      </c>
    </row>
    <row r="10" spans="2:12" x14ac:dyDescent="0.2">
      <c r="B10" t="s">
        <v>83</v>
      </c>
    </row>
    <row r="11" spans="2:12" x14ac:dyDescent="0.2">
      <c r="B11" t="s">
        <v>84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5143E-CD77-4CA2-A95D-211A8BC25A50}">
  <dimension ref="A1:C30"/>
  <sheetViews>
    <sheetView topLeftCell="B1" zoomScaleNormal="100" workbookViewId="0">
      <selection activeCell="J16" sqref="J16"/>
    </sheetView>
  </sheetViews>
  <sheetFormatPr defaultRowHeight="14.25" x14ac:dyDescent="0.2"/>
  <cols>
    <col min="1" max="1" width="74" customWidth="1"/>
    <col min="2" max="2" width="30.625" customWidth="1"/>
    <col min="3" max="3" width="15.625" bestFit="1" customWidth="1"/>
    <col min="5" max="5" width="20.5" bestFit="1" customWidth="1"/>
    <col min="7" max="7" width="13.875" bestFit="1" customWidth="1"/>
    <col min="8" max="8" width="22.125" bestFit="1" customWidth="1"/>
  </cols>
  <sheetData>
    <row r="1" spans="1:3" x14ac:dyDescent="0.2">
      <c r="A1" t="s">
        <v>42</v>
      </c>
      <c r="B1" t="s">
        <v>43</v>
      </c>
      <c r="C1" t="s">
        <v>44</v>
      </c>
    </row>
    <row r="2" spans="1:3" x14ac:dyDescent="0.2">
      <c r="A2" t="s">
        <v>45</v>
      </c>
      <c r="B2" t="s">
        <v>46</v>
      </c>
      <c r="C2">
        <v>399</v>
      </c>
    </row>
    <row r="3" spans="1:3" x14ac:dyDescent="0.2">
      <c r="A3" t="s">
        <v>47</v>
      </c>
      <c r="B3" t="s">
        <v>46</v>
      </c>
      <c r="C3">
        <v>199</v>
      </c>
    </row>
    <row r="4" spans="1:3" x14ac:dyDescent="0.2">
      <c r="A4" t="s">
        <v>48</v>
      </c>
      <c r="B4" t="s">
        <v>46</v>
      </c>
      <c r="C4">
        <v>199</v>
      </c>
    </row>
    <row r="5" spans="1:3" x14ac:dyDescent="0.2">
      <c r="A5" t="s">
        <v>49</v>
      </c>
      <c r="B5" t="s">
        <v>46</v>
      </c>
      <c r="C5">
        <v>329</v>
      </c>
    </row>
    <row r="6" spans="1:3" x14ac:dyDescent="0.2">
      <c r="A6" t="s">
        <v>50</v>
      </c>
      <c r="B6" t="s">
        <v>46</v>
      </c>
      <c r="C6">
        <v>154</v>
      </c>
    </row>
    <row r="7" spans="1:3" x14ac:dyDescent="0.2">
      <c r="A7" t="s">
        <v>51</v>
      </c>
      <c r="B7" t="s">
        <v>46</v>
      </c>
      <c r="C7">
        <v>149</v>
      </c>
    </row>
    <row r="8" spans="1:3" x14ac:dyDescent="0.2">
      <c r="A8" t="s">
        <v>52</v>
      </c>
      <c r="B8" t="s">
        <v>46</v>
      </c>
      <c r="C8">
        <v>176.63</v>
      </c>
    </row>
    <row r="9" spans="1:3" x14ac:dyDescent="0.2">
      <c r="A9" t="s">
        <v>53</v>
      </c>
      <c r="B9" t="s">
        <v>46</v>
      </c>
      <c r="C9">
        <v>229</v>
      </c>
    </row>
    <row r="10" spans="1:3" x14ac:dyDescent="0.2">
      <c r="A10" t="s">
        <v>54</v>
      </c>
      <c r="B10" t="s">
        <v>55</v>
      </c>
      <c r="C10">
        <v>499</v>
      </c>
    </row>
    <row r="11" spans="1:3" x14ac:dyDescent="0.2">
      <c r="A11" t="s">
        <v>56</v>
      </c>
      <c r="B11" t="s">
        <v>46</v>
      </c>
      <c r="C11">
        <v>199</v>
      </c>
    </row>
    <row r="12" spans="1:3" x14ac:dyDescent="0.2">
      <c r="A12" t="s">
        <v>57</v>
      </c>
      <c r="B12" t="s">
        <v>46</v>
      </c>
      <c r="C12">
        <v>154</v>
      </c>
    </row>
    <row r="13" spans="1:3" x14ac:dyDescent="0.2">
      <c r="A13" t="s">
        <v>58</v>
      </c>
      <c r="B13" t="s">
        <v>46</v>
      </c>
      <c r="C13">
        <v>299</v>
      </c>
    </row>
    <row r="14" spans="1:3" x14ac:dyDescent="0.2">
      <c r="A14" t="s">
        <v>59</v>
      </c>
      <c r="B14" t="s">
        <v>60</v>
      </c>
      <c r="C14">
        <v>219</v>
      </c>
    </row>
    <row r="15" spans="1:3" x14ac:dyDescent="0.2">
      <c r="A15" t="s">
        <v>61</v>
      </c>
      <c r="B15" t="s">
        <v>46</v>
      </c>
      <c r="C15">
        <v>350</v>
      </c>
    </row>
    <row r="16" spans="1:3" x14ac:dyDescent="0.2">
      <c r="A16" t="s">
        <v>62</v>
      </c>
      <c r="B16" t="s">
        <v>46</v>
      </c>
      <c r="C16">
        <v>159</v>
      </c>
    </row>
    <row r="17" spans="1:3" x14ac:dyDescent="0.2">
      <c r="A17" t="s">
        <v>63</v>
      </c>
      <c r="B17" t="s">
        <v>46</v>
      </c>
      <c r="C17">
        <v>349</v>
      </c>
    </row>
    <row r="18" spans="1:3" x14ac:dyDescent="0.2">
      <c r="A18" t="s">
        <v>64</v>
      </c>
      <c r="B18" t="s">
        <v>65</v>
      </c>
      <c r="C18" s="6">
        <v>13999</v>
      </c>
    </row>
    <row r="19" spans="1:3" x14ac:dyDescent="0.2">
      <c r="A19" t="s">
        <v>66</v>
      </c>
      <c r="B19" t="s">
        <v>46</v>
      </c>
      <c r="C19">
        <v>249</v>
      </c>
    </row>
    <row r="20" spans="1:3" x14ac:dyDescent="0.2">
      <c r="A20" t="s">
        <v>67</v>
      </c>
      <c r="B20" t="s">
        <v>46</v>
      </c>
      <c r="C20">
        <v>199</v>
      </c>
    </row>
    <row r="21" spans="1:3" x14ac:dyDescent="0.2">
      <c r="A21" t="s">
        <v>68</v>
      </c>
      <c r="B21" t="s">
        <v>65</v>
      </c>
      <c r="C21" s="6">
        <v>13490</v>
      </c>
    </row>
    <row r="22" spans="1:3" x14ac:dyDescent="0.2">
      <c r="A22" t="s">
        <v>69</v>
      </c>
      <c r="B22" t="s">
        <v>46</v>
      </c>
      <c r="C22">
        <v>970</v>
      </c>
    </row>
    <row r="23" spans="1:3" x14ac:dyDescent="0.2">
      <c r="A23" t="s">
        <v>70</v>
      </c>
      <c r="B23" t="s">
        <v>60</v>
      </c>
      <c r="C23">
        <v>279</v>
      </c>
    </row>
    <row r="24" spans="1:3" x14ac:dyDescent="0.2">
      <c r="A24" t="s">
        <v>71</v>
      </c>
      <c r="B24" t="s">
        <v>65</v>
      </c>
      <c r="C24" s="6">
        <v>13490</v>
      </c>
    </row>
    <row r="25" spans="1:3" x14ac:dyDescent="0.2">
      <c r="A25" t="s">
        <v>72</v>
      </c>
      <c r="B25" t="s">
        <v>46</v>
      </c>
      <c r="C25">
        <v>59</v>
      </c>
    </row>
    <row r="26" spans="1:3" x14ac:dyDescent="0.2">
      <c r="A26" t="s">
        <v>73</v>
      </c>
      <c r="B26" t="s">
        <v>65</v>
      </c>
      <c r="C26" s="6">
        <v>11499</v>
      </c>
    </row>
    <row r="27" spans="1:3" x14ac:dyDescent="0.2">
      <c r="A27" t="s">
        <v>74</v>
      </c>
      <c r="B27" t="s">
        <v>60</v>
      </c>
      <c r="C27">
        <v>199</v>
      </c>
    </row>
    <row r="28" spans="1:3" x14ac:dyDescent="0.2">
      <c r="A28" t="s">
        <v>75</v>
      </c>
      <c r="B28" t="s">
        <v>65</v>
      </c>
      <c r="C28" s="6">
        <v>14999</v>
      </c>
    </row>
    <row r="29" spans="1:3" x14ac:dyDescent="0.2">
      <c r="A29" t="s">
        <v>76</v>
      </c>
      <c r="B29" t="s">
        <v>46</v>
      </c>
      <c r="C29">
        <v>299</v>
      </c>
    </row>
    <row r="30" spans="1:3" x14ac:dyDescent="0.2">
      <c r="A30" t="s">
        <v>77</v>
      </c>
      <c r="B30" t="s">
        <v>46</v>
      </c>
      <c r="C30">
        <v>970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558A-37BD-4D53-957B-FB45A11820D6}">
  <dimension ref="A3:J32"/>
  <sheetViews>
    <sheetView workbookViewId="0">
      <selection activeCell="C10" sqref="C10"/>
    </sheetView>
  </sheetViews>
  <sheetFormatPr defaultRowHeight="14.25" x14ac:dyDescent="0.2"/>
  <cols>
    <col min="1" max="1" width="13.875" bestFit="1" customWidth="1"/>
    <col min="2" max="2" width="27.25" bestFit="1" customWidth="1"/>
    <col min="3" max="3" width="14.875" bestFit="1" customWidth="1"/>
    <col min="5" max="5" width="15.5" bestFit="1" customWidth="1"/>
    <col min="6" max="6" width="22.625" bestFit="1" customWidth="1"/>
  </cols>
  <sheetData>
    <row r="3" spans="1:10" x14ac:dyDescent="0.2">
      <c r="A3" t="s">
        <v>20</v>
      </c>
      <c r="B3" t="s">
        <v>128</v>
      </c>
      <c r="C3" t="s">
        <v>44</v>
      </c>
    </row>
    <row r="4" spans="1:10" x14ac:dyDescent="0.2">
      <c r="A4" t="s">
        <v>111</v>
      </c>
      <c r="B4" t="s">
        <v>135</v>
      </c>
      <c r="C4" s="22">
        <v>399</v>
      </c>
      <c r="E4" t="str">
        <f>UPPER(A4)</f>
        <v xml:space="preserve">WAYONA </v>
      </c>
      <c r="F4" t="str">
        <f>PROPER(TRIM(B4))</f>
        <v>Computers&amp; Accessories|</v>
      </c>
    </row>
    <row r="5" spans="1:10" x14ac:dyDescent="0.2">
      <c r="A5" t="s">
        <v>112</v>
      </c>
      <c r="B5" t="s">
        <v>137</v>
      </c>
      <c r="C5" s="22">
        <v>199</v>
      </c>
      <c r="E5" t="str">
        <f t="shared" ref="E5:E32" si="0">UPPER(A5)</f>
        <v xml:space="preserve">AMBRANE </v>
      </c>
      <c r="F5" t="str">
        <f t="shared" ref="F5:F32" si="1">PROPER(TRIM(B5))</f>
        <v>Computers &amp;Accessories|</v>
      </c>
      <c r="J5" t="s">
        <v>131</v>
      </c>
    </row>
    <row r="6" spans="1:10" x14ac:dyDescent="0.2">
      <c r="A6" t="s">
        <v>113</v>
      </c>
      <c r="B6" t="s">
        <v>138</v>
      </c>
      <c r="C6" s="22">
        <v>199</v>
      </c>
      <c r="E6" t="str">
        <f t="shared" si="0"/>
        <v xml:space="preserve">SOUNCE </v>
      </c>
      <c r="F6" t="str">
        <f t="shared" si="1"/>
        <v>Computers&amp;Accessories |</v>
      </c>
      <c r="J6" t="s">
        <v>132</v>
      </c>
    </row>
    <row r="7" spans="1:10" x14ac:dyDescent="0.2">
      <c r="A7" t="s">
        <v>114</v>
      </c>
      <c r="B7" t="s">
        <v>129</v>
      </c>
      <c r="C7" s="22">
        <v>329</v>
      </c>
      <c r="E7" t="str">
        <f t="shared" si="0"/>
        <v xml:space="preserve">BOAT </v>
      </c>
      <c r="F7" t="str">
        <f t="shared" si="1"/>
        <v>Computers&amp;Accessories|</v>
      </c>
      <c r="J7" t="s">
        <v>133</v>
      </c>
    </row>
    <row r="8" spans="1:10" x14ac:dyDescent="0.2">
      <c r="A8" t="s">
        <v>115</v>
      </c>
      <c r="B8" t="s">
        <v>129</v>
      </c>
      <c r="C8" s="22">
        <v>154</v>
      </c>
      <c r="E8" t="str">
        <f t="shared" si="0"/>
        <v xml:space="preserve">PORTRONICS </v>
      </c>
      <c r="F8" t="str">
        <f t="shared" si="1"/>
        <v>Computers&amp;Accessories|</v>
      </c>
      <c r="J8" t="s">
        <v>134</v>
      </c>
    </row>
    <row r="9" spans="1:10" x14ac:dyDescent="0.2">
      <c r="A9" t="s">
        <v>116</v>
      </c>
      <c r="B9" t="s">
        <v>129</v>
      </c>
      <c r="C9" s="22">
        <v>149</v>
      </c>
      <c r="E9" t="str">
        <f t="shared" si="0"/>
        <v xml:space="preserve">PTRON </v>
      </c>
      <c r="F9" t="str">
        <f t="shared" si="1"/>
        <v>Computers&amp;Accessories|</v>
      </c>
    </row>
    <row r="10" spans="1:10" x14ac:dyDescent="0.2">
      <c r="A10" t="s">
        <v>114</v>
      </c>
      <c r="B10" t="s">
        <v>129</v>
      </c>
      <c r="C10" s="22">
        <v>176.63</v>
      </c>
      <c r="E10" t="str">
        <f t="shared" si="0"/>
        <v xml:space="preserve">BOAT </v>
      </c>
      <c r="F10" t="str">
        <f t="shared" si="1"/>
        <v>Computers&amp;Accessories|</v>
      </c>
    </row>
    <row r="11" spans="1:10" x14ac:dyDescent="0.2">
      <c r="A11" t="s">
        <v>117</v>
      </c>
      <c r="B11" t="s">
        <v>129</v>
      </c>
      <c r="C11" s="22">
        <v>229</v>
      </c>
      <c r="E11" t="str">
        <f t="shared" si="0"/>
        <v xml:space="preserve">MI </v>
      </c>
      <c r="F11" t="str">
        <f t="shared" si="1"/>
        <v>Computers&amp;Accessories|</v>
      </c>
    </row>
    <row r="12" spans="1:10" x14ac:dyDescent="0.2">
      <c r="A12" t="s">
        <v>118</v>
      </c>
      <c r="B12" t="s">
        <v>129</v>
      </c>
      <c r="C12" s="22">
        <v>499</v>
      </c>
      <c r="E12" t="str">
        <f t="shared" si="0"/>
        <v xml:space="preserve">TP-LINK </v>
      </c>
      <c r="F12" t="str">
        <f t="shared" si="1"/>
        <v>Computers&amp;Accessories|</v>
      </c>
    </row>
    <row r="13" spans="1:10" x14ac:dyDescent="0.2">
      <c r="A13" t="s">
        <v>112</v>
      </c>
      <c r="B13" t="s">
        <v>129</v>
      </c>
      <c r="C13" s="22">
        <v>199</v>
      </c>
      <c r="E13" t="str">
        <f t="shared" si="0"/>
        <v xml:space="preserve">AMBRANE </v>
      </c>
      <c r="F13" t="str">
        <f t="shared" si="1"/>
        <v>Computers&amp;Accessories|</v>
      </c>
    </row>
    <row r="14" spans="1:10" x14ac:dyDescent="0.2">
      <c r="A14" t="s">
        <v>115</v>
      </c>
      <c r="B14" t="s">
        <v>129</v>
      </c>
      <c r="C14" s="22">
        <v>154</v>
      </c>
      <c r="E14" t="str">
        <f t="shared" si="0"/>
        <v xml:space="preserve">PORTRONICS </v>
      </c>
      <c r="F14" t="str">
        <f t="shared" si="1"/>
        <v>Computers&amp;Accessories|</v>
      </c>
    </row>
    <row r="15" spans="1:10" x14ac:dyDescent="0.2">
      <c r="A15" t="s">
        <v>114</v>
      </c>
      <c r="B15" t="s">
        <v>129</v>
      </c>
      <c r="C15" s="22">
        <v>299</v>
      </c>
      <c r="E15" t="str">
        <f t="shared" si="0"/>
        <v xml:space="preserve">BOAT </v>
      </c>
      <c r="F15" t="str">
        <f t="shared" si="1"/>
        <v>Computers&amp;Accessories|</v>
      </c>
    </row>
    <row r="16" spans="1:10" x14ac:dyDescent="0.2">
      <c r="A16" t="s">
        <v>119</v>
      </c>
      <c r="B16" t="s">
        <v>130</v>
      </c>
      <c r="C16" s="22">
        <v>219</v>
      </c>
      <c r="E16" t="str">
        <f t="shared" si="0"/>
        <v xml:space="preserve">AMAZONBASICS </v>
      </c>
      <c r="F16" t="str">
        <f t="shared" si="1"/>
        <v>Electronics|</v>
      </c>
    </row>
    <row r="17" spans="1:6" x14ac:dyDescent="0.2">
      <c r="A17" t="s">
        <v>115</v>
      </c>
      <c r="B17" t="s">
        <v>129</v>
      </c>
      <c r="C17" s="22">
        <v>350</v>
      </c>
      <c r="E17" t="str">
        <f t="shared" si="0"/>
        <v xml:space="preserve">PORTRONICS </v>
      </c>
      <c r="F17" t="str">
        <f t="shared" si="1"/>
        <v>Computers&amp;Accessories|</v>
      </c>
    </row>
    <row r="18" spans="1:6" x14ac:dyDescent="0.2">
      <c r="A18" t="s">
        <v>115</v>
      </c>
      <c r="B18" t="s">
        <v>129</v>
      </c>
      <c r="C18" s="22">
        <v>159</v>
      </c>
      <c r="E18" t="str">
        <f t="shared" si="0"/>
        <v xml:space="preserve">PORTRONICS </v>
      </c>
      <c r="F18" t="str">
        <f t="shared" si="1"/>
        <v>Computers&amp;Accessories|</v>
      </c>
    </row>
    <row r="19" spans="1:6" x14ac:dyDescent="0.2">
      <c r="A19" t="s">
        <v>117</v>
      </c>
      <c r="B19" t="s">
        <v>129</v>
      </c>
      <c r="C19" s="22">
        <v>349</v>
      </c>
      <c r="E19" t="str">
        <f t="shared" si="0"/>
        <v xml:space="preserve">MI </v>
      </c>
      <c r="F19" t="str">
        <f t="shared" si="1"/>
        <v>Computers&amp;Accessories|</v>
      </c>
    </row>
    <row r="20" spans="1:6" x14ac:dyDescent="0.2">
      <c r="A20" t="s">
        <v>117</v>
      </c>
      <c r="B20" t="s">
        <v>130</v>
      </c>
      <c r="C20" s="22">
        <v>13999</v>
      </c>
      <c r="E20" t="str">
        <f t="shared" si="0"/>
        <v xml:space="preserve">MI </v>
      </c>
      <c r="F20" t="str">
        <f t="shared" si="1"/>
        <v>Electronics|</v>
      </c>
    </row>
    <row r="21" spans="1:6" x14ac:dyDescent="0.2">
      <c r="A21" t="s">
        <v>112</v>
      </c>
      <c r="B21" t="s">
        <v>129</v>
      </c>
      <c r="C21" s="22">
        <v>249</v>
      </c>
      <c r="E21" t="str">
        <f t="shared" si="0"/>
        <v xml:space="preserve">AMBRANE </v>
      </c>
      <c r="F21" t="str">
        <f t="shared" si="1"/>
        <v>Computers&amp;Accessories|</v>
      </c>
    </row>
    <row r="22" spans="1:6" x14ac:dyDescent="0.2">
      <c r="A22" t="s">
        <v>114</v>
      </c>
      <c r="B22" t="s">
        <v>129</v>
      </c>
      <c r="C22" s="22">
        <v>199</v>
      </c>
      <c r="E22" t="str">
        <f t="shared" si="0"/>
        <v xml:space="preserve">BOAT </v>
      </c>
      <c r="F22" t="str">
        <f t="shared" si="1"/>
        <v>Computers&amp;Accessories|</v>
      </c>
    </row>
    <row r="23" spans="1:6" x14ac:dyDescent="0.2">
      <c r="A23" t="s">
        <v>120</v>
      </c>
      <c r="B23" t="s">
        <v>130</v>
      </c>
      <c r="C23" s="22">
        <v>13490</v>
      </c>
      <c r="E23" t="str">
        <f t="shared" si="0"/>
        <v xml:space="preserve">LG </v>
      </c>
      <c r="F23" t="str">
        <f t="shared" si="1"/>
        <v>Electronics|</v>
      </c>
    </row>
    <row r="24" spans="1:6" x14ac:dyDescent="0.2">
      <c r="A24" t="s">
        <v>121</v>
      </c>
      <c r="B24" t="s">
        <v>129</v>
      </c>
      <c r="C24" s="22">
        <v>970</v>
      </c>
      <c r="E24" t="str">
        <f t="shared" si="0"/>
        <v xml:space="preserve">DURACELL </v>
      </c>
      <c r="F24" t="str">
        <f t="shared" si="1"/>
        <v>Computers&amp;Accessories|</v>
      </c>
    </row>
    <row r="25" spans="1:6" x14ac:dyDescent="0.2">
      <c r="A25" t="s">
        <v>122</v>
      </c>
      <c r="B25" t="s">
        <v>136</v>
      </c>
      <c r="C25" s="22">
        <v>279</v>
      </c>
      <c r="E25" t="str">
        <f t="shared" si="0"/>
        <v xml:space="preserve">TIZUM </v>
      </c>
      <c r="F25" t="str">
        <f t="shared" si="1"/>
        <v>Electronics+B2|</v>
      </c>
    </row>
    <row r="26" spans="1:6" x14ac:dyDescent="0.2">
      <c r="A26" t="s">
        <v>123</v>
      </c>
      <c r="B26" t="s">
        <v>130</v>
      </c>
      <c r="C26" s="22">
        <v>13490</v>
      </c>
      <c r="E26" t="str">
        <f t="shared" si="0"/>
        <v xml:space="preserve">SAMSUNG </v>
      </c>
      <c r="F26" t="str">
        <f t="shared" si="1"/>
        <v>Electronics|</v>
      </c>
    </row>
    <row r="27" spans="1:6" x14ac:dyDescent="0.2">
      <c r="A27" t="s">
        <v>124</v>
      </c>
      <c r="B27" t="s">
        <v>129</v>
      </c>
      <c r="C27" s="22">
        <v>59</v>
      </c>
      <c r="E27" t="str">
        <f t="shared" si="0"/>
        <v xml:space="preserve">FLIX </v>
      </c>
      <c r="F27" t="str">
        <f t="shared" si="1"/>
        <v>Computers&amp;Accessories|</v>
      </c>
    </row>
    <row r="28" spans="1:6" x14ac:dyDescent="0.2">
      <c r="A28" t="s">
        <v>125</v>
      </c>
      <c r="B28" t="s">
        <v>130</v>
      </c>
      <c r="C28" s="22">
        <v>11499</v>
      </c>
      <c r="E28" t="str">
        <f t="shared" si="0"/>
        <v xml:space="preserve">ACER </v>
      </c>
      <c r="F28" t="str">
        <f t="shared" si="1"/>
        <v>Electronics|</v>
      </c>
    </row>
    <row r="29" spans="1:6" x14ac:dyDescent="0.2">
      <c r="A29" t="s">
        <v>126</v>
      </c>
      <c r="B29" t="s">
        <v>130</v>
      </c>
      <c r="C29" s="22">
        <v>199</v>
      </c>
      <c r="E29" t="str">
        <f t="shared" si="0"/>
        <v xml:space="preserve">TIZUM </v>
      </c>
      <c r="F29" t="str">
        <f t="shared" si="1"/>
        <v>Electronics|</v>
      </c>
    </row>
    <row r="30" spans="1:6" x14ac:dyDescent="0.2">
      <c r="A30" t="s">
        <v>127</v>
      </c>
      <c r="B30" t="s">
        <v>130</v>
      </c>
      <c r="C30" s="22">
        <v>14999</v>
      </c>
      <c r="E30" t="str">
        <f t="shared" si="0"/>
        <v xml:space="preserve">ONEPLUS </v>
      </c>
      <c r="F30" t="str">
        <f t="shared" si="1"/>
        <v>Electronics|</v>
      </c>
    </row>
    <row r="31" spans="1:6" x14ac:dyDescent="0.2">
      <c r="A31" t="s">
        <v>112</v>
      </c>
      <c r="B31" t="s">
        <v>129</v>
      </c>
      <c r="C31" s="22">
        <v>299</v>
      </c>
      <c r="E31" t="str">
        <f t="shared" si="0"/>
        <v xml:space="preserve">AMBRANE </v>
      </c>
      <c r="F31" t="str">
        <f t="shared" si="1"/>
        <v>Computers&amp;Accessories|</v>
      </c>
    </row>
    <row r="32" spans="1:6" x14ac:dyDescent="0.2">
      <c r="A32" t="s">
        <v>121</v>
      </c>
      <c r="B32" t="s">
        <v>129</v>
      </c>
      <c r="C32" s="22">
        <v>970</v>
      </c>
      <c r="E32" t="str">
        <f t="shared" si="0"/>
        <v xml:space="preserve">DURACELL </v>
      </c>
      <c r="F32" t="str">
        <f t="shared" si="1"/>
        <v>Computers&amp;Accessories|</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2D3D-6FF6-498E-B8F4-C9DD3D6F8611}">
  <dimension ref="A1:L17"/>
  <sheetViews>
    <sheetView topLeftCell="C1" workbookViewId="0">
      <selection activeCell="I8" sqref="I8"/>
    </sheetView>
  </sheetViews>
  <sheetFormatPr defaultRowHeight="14.25" x14ac:dyDescent="0.2"/>
  <cols>
    <col min="1" max="1" width="22.75" customWidth="1"/>
    <col min="2" max="2" width="15.375" customWidth="1"/>
    <col min="3" max="3" width="16" customWidth="1"/>
    <col min="4" max="4" width="24" bestFit="1" customWidth="1"/>
    <col min="6" max="6" width="14.75" customWidth="1"/>
    <col min="7" max="7" width="15.5" customWidth="1"/>
    <col min="8" max="8" width="14.25" bestFit="1" customWidth="1"/>
    <col min="9" max="9" width="18.75" customWidth="1"/>
    <col min="10" max="10" width="9.75" customWidth="1"/>
    <col min="12" max="12" width="12.5" customWidth="1"/>
  </cols>
  <sheetData>
    <row r="1" spans="1:12" s="1" customFormat="1" ht="19.899999999999999" customHeight="1" x14ac:dyDescent="0.2">
      <c r="A1" s="1" t="s">
        <v>0</v>
      </c>
    </row>
    <row r="4" spans="1:12" x14ac:dyDescent="0.2">
      <c r="A4" s="2" t="s">
        <v>14</v>
      </c>
      <c r="B4" s="2" t="s">
        <v>15</v>
      </c>
      <c r="C4" s="2" t="s">
        <v>16</v>
      </c>
      <c r="D4" s="2" t="s">
        <v>17</v>
      </c>
      <c r="F4" s="2" t="s">
        <v>18</v>
      </c>
      <c r="G4" s="2" t="s">
        <v>19</v>
      </c>
      <c r="I4" s="4" t="s">
        <v>20</v>
      </c>
      <c r="J4" s="4" t="s">
        <v>25</v>
      </c>
      <c r="K4" s="4" t="s">
        <v>26</v>
      </c>
      <c r="L4" s="4" t="s">
        <v>27</v>
      </c>
    </row>
    <row r="5" spans="1:12" x14ac:dyDescent="0.2">
      <c r="A5" s="3" t="s">
        <v>1</v>
      </c>
      <c r="B5" t="str">
        <f>LEFT(A5,FIND(" ", A5))</f>
        <v xml:space="preserve">Deborah </v>
      </c>
      <c r="C5" t="str">
        <f>RIGHT(A5, LEN(A5) - FIND(" ",A5))</f>
        <v>Ashby</v>
      </c>
      <c r="D5" s="5" t="str">
        <f>LOWER(B5&amp;C5 &amp; "@gmail.com")</f>
        <v>deborah ashby@gmail.com</v>
      </c>
      <c r="F5" t="s">
        <v>29</v>
      </c>
      <c r="G5" s="3" t="str">
        <f>RIGHT(F5, LEN(F5) - FIND("-",F5)-1)</f>
        <v>23</v>
      </c>
      <c r="I5" t="s">
        <v>28</v>
      </c>
    </row>
    <row r="6" spans="1:12" x14ac:dyDescent="0.2">
      <c r="A6" s="3" t="s">
        <v>2</v>
      </c>
      <c r="B6" t="str">
        <f t="shared" ref="B6:B17" si="0">LEFT(A6,FIND(" ", A6))</f>
        <v xml:space="preserve">Adam </v>
      </c>
      <c r="C6" t="str">
        <f t="shared" ref="C6:C17" si="1">RIGHT(A6, LEN(A6) - FIND(" ",A6))</f>
        <v>Lacey</v>
      </c>
      <c r="D6" s="5" t="str">
        <f t="shared" ref="D6:D17" si="2">LOWER(B6&amp;C6 &amp; "@gmail.com")</f>
        <v>adam lacey@gmail.com</v>
      </c>
      <c r="F6" t="s">
        <v>30</v>
      </c>
      <c r="G6" s="3" t="str">
        <f t="shared" ref="G6:G17" si="3">RIGHT(F6, LEN(F6) - FIND("-",F6)-1)</f>
        <v>24</v>
      </c>
      <c r="I6" t="s">
        <v>21</v>
      </c>
    </row>
    <row r="7" spans="1:12" x14ac:dyDescent="0.2">
      <c r="A7" s="3" t="s">
        <v>3</v>
      </c>
      <c r="B7" t="str">
        <f t="shared" si="0"/>
        <v xml:space="preserve">Ben </v>
      </c>
      <c r="C7" t="str">
        <f t="shared" si="1"/>
        <v>Lee</v>
      </c>
      <c r="D7" s="5" t="str">
        <f t="shared" si="2"/>
        <v>ben lee@gmail.com</v>
      </c>
      <c r="F7" t="s">
        <v>31</v>
      </c>
      <c r="G7" s="3" t="str">
        <f t="shared" si="3"/>
        <v>25</v>
      </c>
      <c r="I7" t="s">
        <v>22</v>
      </c>
    </row>
    <row r="8" spans="1:12" x14ac:dyDescent="0.2">
      <c r="A8" s="3" t="s">
        <v>4</v>
      </c>
      <c r="B8" t="str">
        <f t="shared" si="0"/>
        <v xml:space="preserve">Sarah </v>
      </c>
      <c r="C8" t="str">
        <f t="shared" si="1"/>
        <v>Jones</v>
      </c>
      <c r="D8" s="5" t="str">
        <f t="shared" si="2"/>
        <v>sarah jones@gmail.com</v>
      </c>
      <c r="F8" t="s">
        <v>32</v>
      </c>
      <c r="G8" s="3" t="str">
        <f t="shared" si="3"/>
        <v>26</v>
      </c>
      <c r="I8" t="s">
        <v>23</v>
      </c>
    </row>
    <row r="9" spans="1:12" x14ac:dyDescent="0.2">
      <c r="A9" s="3" t="s">
        <v>5</v>
      </c>
      <c r="B9" t="str">
        <f t="shared" si="0"/>
        <v xml:space="preserve">Olivia </v>
      </c>
      <c r="C9" t="str">
        <f t="shared" si="1"/>
        <v>Green</v>
      </c>
      <c r="D9" s="5" t="str">
        <f t="shared" si="2"/>
        <v>olivia green@gmail.com</v>
      </c>
      <c r="F9" t="s">
        <v>33</v>
      </c>
      <c r="G9" s="3" t="str">
        <f t="shared" si="3"/>
        <v>27</v>
      </c>
      <c r="I9" t="s">
        <v>24</v>
      </c>
    </row>
    <row r="10" spans="1:12" x14ac:dyDescent="0.2">
      <c r="A10" s="3" t="s">
        <v>6</v>
      </c>
      <c r="B10" t="str">
        <f t="shared" si="0"/>
        <v xml:space="preserve">Ming </v>
      </c>
      <c r="C10" t="str">
        <f t="shared" si="1"/>
        <v>Sia</v>
      </c>
      <c r="D10" s="5" t="str">
        <f t="shared" si="2"/>
        <v>ming sia@gmail.com</v>
      </c>
      <c r="F10" t="s">
        <v>34</v>
      </c>
      <c r="G10" s="3" t="str">
        <f t="shared" si="3"/>
        <v>28</v>
      </c>
    </row>
    <row r="11" spans="1:12" x14ac:dyDescent="0.2">
      <c r="A11" s="3" t="s">
        <v>7</v>
      </c>
      <c r="B11" t="str">
        <f t="shared" si="0"/>
        <v xml:space="preserve">David </v>
      </c>
      <c r="C11" t="str">
        <f t="shared" si="1"/>
        <v>Patterson</v>
      </c>
      <c r="D11" s="5" t="str">
        <f t="shared" si="2"/>
        <v>david patterson@gmail.com</v>
      </c>
      <c r="F11" t="s">
        <v>35</v>
      </c>
      <c r="G11" s="3" t="str">
        <f t="shared" si="3"/>
        <v>29</v>
      </c>
    </row>
    <row r="12" spans="1:12" x14ac:dyDescent="0.2">
      <c r="A12" s="3" t="s">
        <v>8</v>
      </c>
      <c r="B12" t="str">
        <f t="shared" si="0"/>
        <v xml:space="preserve">Chloe </v>
      </c>
      <c r="C12" t="str">
        <f t="shared" si="1"/>
        <v>Newbury</v>
      </c>
      <c r="D12" s="5" t="str">
        <f t="shared" si="2"/>
        <v>chloe newbury@gmail.com</v>
      </c>
      <c r="F12" t="s">
        <v>36</v>
      </c>
      <c r="G12" s="3" t="str">
        <f t="shared" si="3"/>
        <v>30</v>
      </c>
    </row>
    <row r="13" spans="1:12" x14ac:dyDescent="0.2">
      <c r="A13" s="3" t="s">
        <v>9</v>
      </c>
      <c r="B13" t="str">
        <f t="shared" si="0"/>
        <v xml:space="preserve">Martin </v>
      </c>
      <c r="C13" t="str">
        <f t="shared" si="1"/>
        <v>Waters</v>
      </c>
      <c r="D13" s="5" t="str">
        <f t="shared" si="2"/>
        <v>martin waters@gmail.com</v>
      </c>
      <c r="F13" t="s">
        <v>37</v>
      </c>
      <c r="G13" s="3" t="str">
        <f t="shared" si="3"/>
        <v>31</v>
      </c>
    </row>
    <row r="14" spans="1:12" x14ac:dyDescent="0.2">
      <c r="A14" s="3" t="s">
        <v>10</v>
      </c>
      <c r="B14" t="str">
        <f t="shared" si="0"/>
        <v xml:space="preserve">Julie </v>
      </c>
      <c r="C14" t="str">
        <f t="shared" si="1"/>
        <v>Tavistock</v>
      </c>
      <c r="D14" s="5" t="str">
        <f t="shared" si="2"/>
        <v>julie tavistock@gmail.com</v>
      </c>
      <c r="F14" t="s">
        <v>38</v>
      </c>
      <c r="G14" s="3" t="str">
        <f t="shared" si="3"/>
        <v>32</v>
      </c>
    </row>
    <row r="15" spans="1:12" x14ac:dyDescent="0.2">
      <c r="A15" s="3" t="s">
        <v>11</v>
      </c>
      <c r="B15" t="str">
        <f t="shared" si="0"/>
        <v xml:space="preserve">Kurt </v>
      </c>
      <c r="C15" t="str">
        <f t="shared" si="1"/>
        <v>Webster</v>
      </c>
      <c r="D15" s="5" t="str">
        <f t="shared" si="2"/>
        <v>kurt webster@gmail.com</v>
      </c>
      <c r="F15" t="s">
        <v>39</v>
      </c>
      <c r="G15" s="3" t="str">
        <f t="shared" si="3"/>
        <v>33</v>
      </c>
    </row>
    <row r="16" spans="1:12" x14ac:dyDescent="0.2">
      <c r="A16" s="3" t="s">
        <v>12</v>
      </c>
      <c r="B16" t="str">
        <f t="shared" si="0"/>
        <v xml:space="preserve">Lucy </v>
      </c>
      <c r="C16" t="str">
        <f t="shared" si="1"/>
        <v>Matthews</v>
      </c>
      <c r="D16" s="5" t="str">
        <f t="shared" si="2"/>
        <v>lucy matthews@gmail.com</v>
      </c>
      <c r="F16" t="s">
        <v>40</v>
      </c>
      <c r="G16" s="3" t="str">
        <f t="shared" si="3"/>
        <v>34</v>
      </c>
    </row>
    <row r="17" spans="1:7" x14ac:dyDescent="0.2">
      <c r="A17" s="3" t="s">
        <v>13</v>
      </c>
      <c r="B17" t="str">
        <f t="shared" si="0"/>
        <v xml:space="preserve">Pedro </v>
      </c>
      <c r="C17" t="str">
        <f t="shared" si="1"/>
        <v>Costa</v>
      </c>
      <c r="D17" s="5" t="str">
        <f t="shared" si="2"/>
        <v>pedro costa@gmail.com</v>
      </c>
      <c r="F17" t="s">
        <v>41</v>
      </c>
      <c r="G17" s="3" t="str">
        <f t="shared" si="3"/>
        <v>35</v>
      </c>
    </row>
  </sheetData>
  <phoneticPr fontId="3"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0AD4-04A1-40FC-A365-14D0A417DE4D}">
  <dimension ref="B1:AC1000"/>
  <sheetViews>
    <sheetView topLeftCell="I1" zoomScale="82" zoomScaleNormal="82" workbookViewId="0">
      <selection activeCell="X23" sqref="X23"/>
    </sheetView>
  </sheetViews>
  <sheetFormatPr defaultColWidth="12.625" defaultRowHeight="14.25" x14ac:dyDescent="0.2"/>
  <cols>
    <col min="1" max="1" width="7.625" customWidth="1"/>
    <col min="2" max="2" width="13.375" customWidth="1"/>
    <col min="3" max="6" width="7.625" customWidth="1"/>
    <col min="7" max="7" width="5.25" customWidth="1"/>
    <col min="8" max="8" width="14.875" customWidth="1"/>
    <col min="9" max="9" width="7.625" customWidth="1"/>
    <col min="10" max="10" width="10.875" customWidth="1"/>
    <col min="11" max="11" width="6.25" customWidth="1"/>
    <col min="12" max="13" width="8" hidden="1" customWidth="1"/>
    <col min="14" max="14" width="13" customWidth="1"/>
    <col min="15" max="15" width="11.875" customWidth="1"/>
    <col min="16" max="17" width="7.625" customWidth="1"/>
    <col min="18" max="18" width="10" customWidth="1"/>
    <col min="19" max="19" width="7.625" customWidth="1"/>
    <col min="21" max="21" width="11.375" bestFit="1" customWidth="1"/>
    <col min="23" max="23" width="7.625" customWidth="1"/>
    <col min="24" max="24" width="21.625" bestFit="1" customWidth="1"/>
    <col min="25" max="29" width="7.625" customWidth="1"/>
  </cols>
  <sheetData>
    <row r="1" spans="2:29" ht="15" customHeight="1" x14ac:dyDescent="0.2">
      <c r="U1" t="s">
        <v>139</v>
      </c>
      <c r="V1" t="s">
        <v>140</v>
      </c>
    </row>
    <row r="2" spans="2:29" ht="15" x14ac:dyDescent="0.25">
      <c r="B2" s="23" t="s">
        <v>141</v>
      </c>
      <c r="C2" s="24" t="s">
        <v>142</v>
      </c>
      <c r="D2" s="24" t="s">
        <v>143</v>
      </c>
      <c r="E2" s="24" t="s">
        <v>144</v>
      </c>
      <c r="F2" s="24" t="s">
        <v>145</v>
      </c>
      <c r="G2" s="24" t="s">
        <v>146</v>
      </c>
      <c r="H2" s="24" t="s">
        <v>147</v>
      </c>
      <c r="N2" s="24" t="s">
        <v>148</v>
      </c>
      <c r="O2" s="24" t="s">
        <v>149</v>
      </c>
      <c r="R2" s="24" t="s">
        <v>150</v>
      </c>
      <c r="S2" s="24" t="s">
        <v>151</v>
      </c>
      <c r="T2" s="24" t="s">
        <v>152</v>
      </c>
      <c r="U2" s="24" t="s">
        <v>153</v>
      </c>
      <c r="V2" s="24" t="s">
        <v>153</v>
      </c>
    </row>
    <row r="3" spans="2:29" ht="15" x14ac:dyDescent="0.25">
      <c r="B3" s="25" t="s">
        <v>154</v>
      </c>
      <c r="C3" s="26">
        <v>20</v>
      </c>
      <c r="D3" s="26">
        <v>11</v>
      </c>
      <c r="E3" s="26">
        <v>4</v>
      </c>
      <c r="F3" s="26">
        <v>21</v>
      </c>
      <c r="G3" s="26">
        <f t="shared" ref="G3:G26" si="0">SUM(C3:F3)</f>
        <v>56</v>
      </c>
      <c r="H3" s="26" t="str">
        <f>IF(G3&lt;=39,"FAIL",IF(G3&lt;=49,"FAIR",IF(G3&lt;=59,"AVERAGE",IF(G3&lt;=69,"GOOD",IF(G3&lt;=79,"VERY GOOD","EXCELLENT")))))</f>
        <v>AVERAGE</v>
      </c>
      <c r="N3" s="26">
        <v>19</v>
      </c>
      <c r="O3" s="26" t="str">
        <f>IF(N3&lt;=19,"Teenager",IF(N3&lt;=35,"Youth",IF(N3&lt;=45," Young Adult",IF(N3&lt;=55,"Adult",IF(N3&lt;=70,"Elder","Senior Citizen")))))</f>
        <v>Teenager</v>
      </c>
      <c r="R3" s="26" t="s">
        <v>155</v>
      </c>
      <c r="S3" s="26">
        <v>29</v>
      </c>
      <c r="T3" s="26">
        <v>78</v>
      </c>
      <c r="U3" s="26" t="str">
        <f>IF(OR(S3&gt;=40,T3&gt;=50),"Promoted", "Fail")</f>
        <v>Promoted</v>
      </c>
      <c r="V3" s="26" t="str">
        <f>IF(AND(S3&gt;=40,T3&gt;=40),"Promoted","Fail")</f>
        <v>Fail</v>
      </c>
      <c r="X3" s="27"/>
      <c r="Y3" s="26"/>
      <c r="AC3" s="26"/>
    </row>
    <row r="4" spans="2:29" ht="15" x14ac:dyDescent="0.25">
      <c r="B4" s="25" t="s">
        <v>156</v>
      </c>
      <c r="C4" s="26">
        <v>4</v>
      </c>
      <c r="D4" s="26">
        <v>12</v>
      </c>
      <c r="E4" s="26">
        <v>12</v>
      </c>
      <c r="F4" s="26">
        <v>32</v>
      </c>
      <c r="G4" s="26">
        <f t="shared" si="0"/>
        <v>60</v>
      </c>
      <c r="H4" s="26" t="str">
        <f>IF(G4&lt;=39,"FAIL",IF(G4&lt;=49,"FAIR",IF(G4&lt;=59,"AVERAGE",IF(G4&lt;=69,"GOOD",IF(G4&lt;=79,"V.GOOD",IF(G4&gt;80,"EXCELLENT"))))))</f>
        <v>GOOD</v>
      </c>
      <c r="N4" s="26">
        <v>33</v>
      </c>
      <c r="O4" s="26" t="str">
        <f t="shared" ref="O4:O35" si="1">IF(N4&lt;=19,"Teenager",IF(N4&lt;=35,"Youth",IF(N4&lt;=45," Young Adult",IF(N4&lt;=55,"Adult",IF(N4&lt;=70,"Elder","Senior Citizen")))))</f>
        <v>Youth</v>
      </c>
      <c r="R4" s="28" t="s">
        <v>157</v>
      </c>
      <c r="S4" s="26">
        <v>33</v>
      </c>
      <c r="T4" s="26">
        <v>65</v>
      </c>
      <c r="U4" s="26" t="str">
        <f>IF(OR(S4&gt;=40,T4&gt;=50),"Promoted", "Fail")</f>
        <v>Promoted</v>
      </c>
      <c r="V4" s="26" t="str">
        <f>IF(AND(S4&gt;40,T4&gt;50), "PROMOTED", "REPEAT")</f>
        <v>REPEAT</v>
      </c>
      <c r="W4" s="29"/>
      <c r="X4" t="s">
        <v>158</v>
      </c>
      <c r="Y4">
        <f>COUNTIF(V3:V29, "PROMOTED")</f>
        <v>10</v>
      </c>
    </row>
    <row r="5" spans="2:29" ht="15" x14ac:dyDescent="0.25">
      <c r="B5" s="25" t="s">
        <v>159</v>
      </c>
      <c r="C5" s="26">
        <v>10</v>
      </c>
      <c r="D5" s="26">
        <v>33</v>
      </c>
      <c r="E5" s="26">
        <v>12</v>
      </c>
      <c r="F5" s="26">
        <v>22</v>
      </c>
      <c r="G5" s="26">
        <f t="shared" si="0"/>
        <v>77</v>
      </c>
      <c r="H5" s="26" t="str">
        <f t="shared" ref="H5:H26" si="2">IF(G5&lt;=39,"FAIL",IF(G5&lt;=49,"FAIR",IF(G5&lt;=59,"AVERAGE",IF(G5&lt;=69,"GOOD",IF(G5&lt;=79,"V.GOOD",IF(G5&gt;80,"EXCELLENT"))))))</f>
        <v>V.GOOD</v>
      </c>
      <c r="I5" s="26" t="s">
        <v>160</v>
      </c>
      <c r="J5" s="26" t="s">
        <v>161</v>
      </c>
      <c r="N5" s="26">
        <v>78</v>
      </c>
      <c r="O5" s="26" t="str">
        <f t="shared" si="1"/>
        <v>Senior Citizen</v>
      </c>
      <c r="R5" s="28" t="s">
        <v>162</v>
      </c>
      <c r="S5" s="26">
        <v>78</v>
      </c>
      <c r="T5" s="26">
        <v>33</v>
      </c>
      <c r="U5" s="26" t="str">
        <f t="shared" ref="U5:U29" si="3">IF(OR(S5&gt;=40,T5&gt;=50),"Promoted", "Fail")</f>
        <v>Promoted</v>
      </c>
      <c r="V5" s="26" t="str">
        <f t="shared" ref="V5:V29" si="4">IF(AND(S5&gt;40,T5&gt;50), "PROMOTED", "REPEAT")</f>
        <v>REPEAT</v>
      </c>
      <c r="X5" t="s">
        <v>163</v>
      </c>
      <c r="Y5">
        <f>COUNTIF(U3:U29, "PROMOTED")</f>
        <v>24</v>
      </c>
    </row>
    <row r="6" spans="2:29" ht="15" x14ac:dyDescent="0.25">
      <c r="B6" s="25" t="s">
        <v>157</v>
      </c>
      <c r="C6" s="26">
        <v>23</v>
      </c>
      <c r="D6" s="26">
        <v>12</v>
      </c>
      <c r="E6" s="26">
        <v>28</v>
      </c>
      <c r="F6" s="26">
        <v>4</v>
      </c>
      <c r="G6" s="26">
        <f t="shared" si="0"/>
        <v>67</v>
      </c>
      <c r="H6" s="26" t="str">
        <f t="shared" si="2"/>
        <v>GOOD</v>
      </c>
      <c r="I6" s="26" t="s">
        <v>164</v>
      </c>
      <c r="J6" s="26" t="s">
        <v>165</v>
      </c>
      <c r="N6" s="26">
        <v>56</v>
      </c>
      <c r="O6" s="26" t="str">
        <f t="shared" si="1"/>
        <v>Elder</v>
      </c>
      <c r="R6" s="28" t="s">
        <v>166</v>
      </c>
      <c r="S6" s="26">
        <v>99</v>
      </c>
      <c r="T6" s="26">
        <v>56</v>
      </c>
      <c r="U6" s="26" t="str">
        <f t="shared" si="3"/>
        <v>Promoted</v>
      </c>
      <c r="V6" s="26" t="str">
        <f t="shared" si="4"/>
        <v>PROMOTED</v>
      </c>
      <c r="X6" t="s">
        <v>167</v>
      </c>
      <c r="Y6">
        <f>COUNTIF(V3:V29, "REPEAT")</f>
        <v>16</v>
      </c>
    </row>
    <row r="7" spans="2:29" ht="15" x14ac:dyDescent="0.25">
      <c r="B7" s="25" t="s">
        <v>162</v>
      </c>
      <c r="C7" s="26">
        <v>33</v>
      </c>
      <c r="D7" s="26">
        <v>11</v>
      </c>
      <c r="E7" s="26">
        <v>20</v>
      </c>
      <c r="F7" s="26">
        <v>21</v>
      </c>
      <c r="G7" s="26">
        <f t="shared" si="0"/>
        <v>85</v>
      </c>
      <c r="H7" s="26" t="str">
        <f t="shared" si="2"/>
        <v>EXCELLENT</v>
      </c>
      <c r="I7" s="26" t="s">
        <v>168</v>
      </c>
      <c r="J7" s="26" t="s">
        <v>169</v>
      </c>
      <c r="N7" s="26">
        <v>88</v>
      </c>
      <c r="O7" s="26" t="str">
        <f t="shared" si="1"/>
        <v>Senior Citizen</v>
      </c>
      <c r="R7" s="28" t="s">
        <v>170</v>
      </c>
      <c r="S7" s="26">
        <v>34</v>
      </c>
      <c r="T7" s="26">
        <v>77</v>
      </c>
      <c r="U7" s="26" t="str">
        <f t="shared" si="3"/>
        <v>Promoted</v>
      </c>
      <c r="V7" s="26" t="str">
        <f t="shared" si="4"/>
        <v>REPEAT</v>
      </c>
      <c r="X7" t="s">
        <v>171</v>
      </c>
      <c r="Y7">
        <f>COUNTIF(U5:U31, "fail")</f>
        <v>3</v>
      </c>
    </row>
    <row r="8" spans="2:29" ht="15" x14ac:dyDescent="0.25">
      <c r="B8" s="25" t="s">
        <v>166</v>
      </c>
      <c r="C8" s="26">
        <v>23</v>
      </c>
      <c r="D8" s="26">
        <v>11</v>
      </c>
      <c r="E8" s="26">
        <v>22</v>
      </c>
      <c r="F8" s="26">
        <v>24</v>
      </c>
      <c r="G8" s="26">
        <f t="shared" si="0"/>
        <v>80</v>
      </c>
      <c r="H8" s="26" t="str">
        <f>IF(G8&lt;=39,"FAIL",IF(G8&lt;=49,"FAIR",IF(G8&lt;=59,"AVERAGE",IF(G8&lt;=69,"GOOD",IF(G8&lt;=79,"V.GOOD",IF(G8&gt;=80,"EXCELLENT"))))))</f>
        <v>EXCELLENT</v>
      </c>
      <c r="I8" s="26" t="s">
        <v>172</v>
      </c>
      <c r="J8" s="26" t="s">
        <v>173</v>
      </c>
      <c r="N8" s="26">
        <v>23</v>
      </c>
      <c r="O8" s="26" t="str">
        <f t="shared" si="1"/>
        <v>Youth</v>
      </c>
      <c r="R8" s="28" t="s">
        <v>174</v>
      </c>
      <c r="S8" s="26">
        <v>66</v>
      </c>
      <c r="T8" s="26">
        <v>33</v>
      </c>
      <c r="U8" s="26" t="str">
        <f t="shared" si="3"/>
        <v>Promoted</v>
      </c>
      <c r="V8" s="26" t="str">
        <f t="shared" si="4"/>
        <v>REPEAT</v>
      </c>
    </row>
    <row r="9" spans="2:29" ht="15" x14ac:dyDescent="0.25">
      <c r="B9" s="25" t="s">
        <v>170</v>
      </c>
      <c r="C9" s="26">
        <v>12</v>
      </c>
      <c r="D9" s="26">
        <v>1</v>
      </c>
      <c r="E9" s="26">
        <v>12</v>
      </c>
      <c r="F9" s="26">
        <v>30</v>
      </c>
      <c r="G9" s="26">
        <f t="shared" si="0"/>
        <v>55</v>
      </c>
      <c r="H9" s="26" t="str">
        <f t="shared" si="2"/>
        <v>AVERAGE</v>
      </c>
      <c r="I9" s="26" t="s">
        <v>175</v>
      </c>
      <c r="J9" s="26" t="s">
        <v>176</v>
      </c>
      <c r="N9" s="26">
        <v>12</v>
      </c>
      <c r="O9" s="26" t="str">
        <f t="shared" si="1"/>
        <v>Teenager</v>
      </c>
      <c r="R9" s="28" t="s">
        <v>177</v>
      </c>
      <c r="S9" s="26">
        <v>44</v>
      </c>
      <c r="T9" s="26">
        <v>67</v>
      </c>
      <c r="U9" s="26" t="str">
        <f t="shared" si="3"/>
        <v>Promoted</v>
      </c>
      <c r="V9" s="26" t="str">
        <f t="shared" si="4"/>
        <v>PROMOTED</v>
      </c>
      <c r="X9" t="s">
        <v>178</v>
      </c>
      <c r="Y9">
        <f>COUNTA(R3:R29)</f>
        <v>27</v>
      </c>
    </row>
    <row r="10" spans="2:29" ht="15" x14ac:dyDescent="0.25">
      <c r="B10" s="25" t="s">
        <v>174</v>
      </c>
      <c r="C10" s="26">
        <v>22</v>
      </c>
      <c r="D10" s="26">
        <v>2</v>
      </c>
      <c r="E10" s="26">
        <v>3</v>
      </c>
      <c r="F10" s="26">
        <v>11</v>
      </c>
      <c r="G10" s="26">
        <f t="shared" si="0"/>
        <v>38</v>
      </c>
      <c r="H10" s="26" t="str">
        <f t="shared" si="2"/>
        <v>FAIL</v>
      </c>
      <c r="I10" s="26">
        <v>71</v>
      </c>
      <c r="J10" s="26" t="s">
        <v>179</v>
      </c>
      <c r="N10" s="26">
        <v>33</v>
      </c>
      <c r="O10" s="26" t="str">
        <f t="shared" si="1"/>
        <v>Youth</v>
      </c>
      <c r="R10" s="28" t="s">
        <v>180</v>
      </c>
      <c r="S10" s="26">
        <v>68</v>
      </c>
      <c r="T10" s="26">
        <v>88</v>
      </c>
      <c r="U10" s="26" t="str">
        <f t="shared" si="3"/>
        <v>Promoted</v>
      </c>
      <c r="V10" s="26" t="str">
        <f t="shared" si="4"/>
        <v>PROMOTED</v>
      </c>
      <c r="X10" t="s">
        <v>181</v>
      </c>
      <c r="Y10">
        <f>SUM(Y5,Y7)</f>
        <v>27</v>
      </c>
    </row>
    <row r="11" spans="2:29" ht="15" x14ac:dyDescent="0.25">
      <c r="B11" s="25" t="s">
        <v>177</v>
      </c>
      <c r="C11" s="26">
        <v>11</v>
      </c>
      <c r="D11" s="26">
        <v>12</v>
      </c>
      <c r="E11" s="26">
        <v>25</v>
      </c>
      <c r="F11" s="26">
        <v>4</v>
      </c>
      <c r="G11" s="26">
        <f t="shared" si="0"/>
        <v>52</v>
      </c>
      <c r="H11" s="26" t="str">
        <f t="shared" si="2"/>
        <v>AVERAGE</v>
      </c>
      <c r="N11" s="26">
        <v>45</v>
      </c>
      <c r="O11" s="26" t="str">
        <f t="shared" si="1"/>
        <v xml:space="preserve"> Young Adult</v>
      </c>
      <c r="R11" s="28" t="s">
        <v>182</v>
      </c>
      <c r="S11" s="26">
        <v>71</v>
      </c>
      <c r="T11" s="26">
        <v>99</v>
      </c>
      <c r="U11" s="26" t="str">
        <f t="shared" si="3"/>
        <v>Promoted</v>
      </c>
      <c r="V11" s="26" t="str">
        <f t="shared" si="4"/>
        <v>PROMOTED</v>
      </c>
      <c r="X11" t="s">
        <v>183</v>
      </c>
      <c r="Y11">
        <f>SUM(Y4,Y6)</f>
        <v>26</v>
      </c>
    </row>
    <row r="12" spans="2:29" ht="15" x14ac:dyDescent="0.25">
      <c r="B12" s="25" t="s">
        <v>180</v>
      </c>
      <c r="C12" s="26">
        <v>10</v>
      </c>
      <c r="D12" s="26">
        <v>4</v>
      </c>
      <c r="E12" s="26">
        <v>11</v>
      </c>
      <c r="F12" s="26">
        <v>12</v>
      </c>
      <c r="G12" s="26">
        <f t="shared" si="0"/>
        <v>37</v>
      </c>
      <c r="H12" s="26" t="str">
        <f t="shared" si="2"/>
        <v>FAIL</v>
      </c>
      <c r="N12" s="26">
        <v>56</v>
      </c>
      <c r="O12" s="26" t="str">
        <f t="shared" si="1"/>
        <v>Elder</v>
      </c>
      <c r="R12" s="28" t="s">
        <v>184</v>
      </c>
      <c r="S12" s="26">
        <v>34</v>
      </c>
      <c r="T12" s="26">
        <v>23</v>
      </c>
      <c r="U12" s="26" t="str">
        <f t="shared" si="3"/>
        <v>Fail</v>
      </c>
      <c r="V12" s="26" t="str">
        <f t="shared" si="4"/>
        <v>REPEAT</v>
      </c>
    </row>
    <row r="13" spans="2:29" ht="15" x14ac:dyDescent="0.25">
      <c r="B13" s="25" t="s">
        <v>182</v>
      </c>
      <c r="C13" s="26">
        <v>22</v>
      </c>
      <c r="D13" s="26">
        <v>6</v>
      </c>
      <c r="E13" s="26">
        <v>2</v>
      </c>
      <c r="F13" s="26">
        <v>10</v>
      </c>
      <c r="G13" s="26">
        <f t="shared" si="0"/>
        <v>40</v>
      </c>
      <c r="H13" s="26" t="str">
        <f t="shared" si="2"/>
        <v>FAIR</v>
      </c>
      <c r="N13" s="26">
        <v>67</v>
      </c>
      <c r="O13" s="26" t="str">
        <f t="shared" si="1"/>
        <v>Elder</v>
      </c>
      <c r="R13" s="28" t="s">
        <v>185</v>
      </c>
      <c r="S13" s="26">
        <v>83</v>
      </c>
      <c r="T13" s="26">
        <v>37</v>
      </c>
      <c r="U13" s="26" t="str">
        <f t="shared" si="3"/>
        <v>Promoted</v>
      </c>
      <c r="V13" s="26" t="str">
        <f t="shared" si="4"/>
        <v>REPEAT</v>
      </c>
    </row>
    <row r="14" spans="2:29" ht="15" x14ac:dyDescent="0.25">
      <c r="B14" s="25" t="s">
        <v>184</v>
      </c>
      <c r="C14" s="26">
        <v>6</v>
      </c>
      <c r="D14" s="26">
        <v>21</v>
      </c>
      <c r="E14" s="26">
        <v>3</v>
      </c>
      <c r="F14" s="26">
        <v>11</v>
      </c>
      <c r="G14" s="26">
        <f t="shared" si="0"/>
        <v>41</v>
      </c>
      <c r="H14" s="26" t="str">
        <f t="shared" si="2"/>
        <v>FAIR</v>
      </c>
      <c r="N14" s="26">
        <v>33</v>
      </c>
      <c r="O14" s="26" t="str">
        <f t="shared" si="1"/>
        <v>Youth</v>
      </c>
      <c r="R14" s="28" t="s">
        <v>186</v>
      </c>
      <c r="S14" s="26">
        <v>55</v>
      </c>
      <c r="T14" s="26">
        <v>77</v>
      </c>
      <c r="U14" s="26" t="str">
        <f t="shared" si="3"/>
        <v>Promoted</v>
      </c>
      <c r="V14" s="26" t="str">
        <f t="shared" si="4"/>
        <v>PROMOTED</v>
      </c>
      <c r="AA14" t="s">
        <v>213</v>
      </c>
      <c r="AB14" t="s">
        <v>214</v>
      </c>
    </row>
    <row r="15" spans="2:29" ht="15" x14ac:dyDescent="0.25">
      <c r="B15" s="25" t="s">
        <v>185</v>
      </c>
      <c r="C15" s="26">
        <v>10</v>
      </c>
      <c r="D15" s="26">
        <v>1</v>
      </c>
      <c r="E15" s="26">
        <v>11</v>
      </c>
      <c r="F15" s="26">
        <v>21</v>
      </c>
      <c r="G15" s="26">
        <f t="shared" si="0"/>
        <v>43</v>
      </c>
      <c r="H15" s="26" t="str">
        <f t="shared" si="2"/>
        <v>FAIR</v>
      </c>
      <c r="I15" t="s">
        <v>187</v>
      </c>
      <c r="J15" t="s">
        <v>188</v>
      </c>
      <c r="N15" s="26">
        <v>19</v>
      </c>
      <c r="O15" s="26" t="str">
        <f t="shared" si="1"/>
        <v>Teenager</v>
      </c>
      <c r="R15" s="28" t="s">
        <v>189</v>
      </c>
      <c r="S15" s="26">
        <v>63</v>
      </c>
      <c r="T15" s="26">
        <v>12</v>
      </c>
      <c r="U15" s="26" t="str">
        <f t="shared" si="3"/>
        <v>Promoted</v>
      </c>
      <c r="V15" s="26" t="str">
        <f t="shared" si="4"/>
        <v>REPEAT</v>
      </c>
      <c r="Y15">
        <v>5</v>
      </c>
      <c r="Z15">
        <v>7</v>
      </c>
      <c r="AA15" t="b">
        <f>AND(Y15&gt;4,Z15&gt;5)</f>
        <v>1</v>
      </c>
      <c r="AB15" t="b">
        <f>OR(Z15&gt;4,AA15&gt;5)</f>
        <v>1</v>
      </c>
    </row>
    <row r="16" spans="2:29" ht="15" x14ac:dyDescent="0.25">
      <c r="B16" s="25" t="s">
        <v>186</v>
      </c>
      <c r="C16" s="26">
        <v>12</v>
      </c>
      <c r="D16" s="26">
        <v>33</v>
      </c>
      <c r="E16" s="26">
        <v>23</v>
      </c>
      <c r="F16" s="26">
        <v>28</v>
      </c>
      <c r="G16" s="26">
        <f t="shared" si="0"/>
        <v>96</v>
      </c>
      <c r="H16" s="26" t="str">
        <f t="shared" si="2"/>
        <v>EXCELLENT</v>
      </c>
      <c r="I16" s="26" t="s">
        <v>190</v>
      </c>
      <c r="J16" s="26" t="s">
        <v>191</v>
      </c>
      <c r="N16" s="26">
        <v>48</v>
      </c>
      <c r="O16" s="26" t="str">
        <f t="shared" si="1"/>
        <v>Adult</v>
      </c>
      <c r="R16" s="28" t="s">
        <v>192</v>
      </c>
      <c r="S16" s="26">
        <v>75</v>
      </c>
      <c r="T16" s="26">
        <v>66</v>
      </c>
      <c r="U16" s="26" t="str">
        <f t="shared" si="3"/>
        <v>Promoted</v>
      </c>
      <c r="V16" s="26" t="str">
        <f t="shared" si="4"/>
        <v>PROMOTED</v>
      </c>
      <c r="Y16">
        <v>4</v>
      </c>
      <c r="Z16">
        <v>4</v>
      </c>
      <c r="AA16" t="b">
        <f>AND(Y16&gt;4,Z16&gt;5)</f>
        <v>0</v>
      </c>
      <c r="AB16" t="b">
        <f>OR(Z16&gt;4,AA16&gt;5)</f>
        <v>1</v>
      </c>
    </row>
    <row r="17" spans="2:28" ht="15" x14ac:dyDescent="0.25">
      <c r="B17" s="25" t="s">
        <v>189</v>
      </c>
      <c r="C17" s="26">
        <v>9</v>
      </c>
      <c r="D17" s="26">
        <v>5</v>
      </c>
      <c r="E17" s="26">
        <v>23</v>
      </c>
      <c r="F17" s="26">
        <v>11</v>
      </c>
      <c r="G17" s="26">
        <f t="shared" si="0"/>
        <v>48</v>
      </c>
      <c r="H17" s="26" t="str">
        <f t="shared" si="2"/>
        <v>FAIR</v>
      </c>
      <c r="I17" s="26" t="s">
        <v>193</v>
      </c>
      <c r="J17" s="26" t="s">
        <v>194</v>
      </c>
      <c r="N17" s="26">
        <v>76</v>
      </c>
      <c r="O17" s="26" t="str">
        <f t="shared" si="1"/>
        <v>Senior Citizen</v>
      </c>
      <c r="R17" s="28" t="s">
        <v>195</v>
      </c>
      <c r="S17" s="26">
        <v>54</v>
      </c>
      <c r="T17" s="26">
        <v>22</v>
      </c>
      <c r="U17" s="26" t="str">
        <f t="shared" si="3"/>
        <v>Promoted</v>
      </c>
      <c r="V17" s="26" t="str">
        <f t="shared" si="4"/>
        <v>REPEAT</v>
      </c>
      <c r="Y17">
        <v>3</v>
      </c>
      <c r="Z17">
        <v>7</v>
      </c>
      <c r="AA17" t="b">
        <f>AND(Y17&gt;4,Z17&gt;5)</f>
        <v>0</v>
      </c>
      <c r="AB17" t="b">
        <f>OR(Z17&gt;4,AA17&gt;5)</f>
        <v>1</v>
      </c>
    </row>
    <row r="18" spans="2:28" ht="15" x14ac:dyDescent="0.25">
      <c r="B18" s="25" t="s">
        <v>192</v>
      </c>
      <c r="C18" s="26">
        <v>28</v>
      </c>
      <c r="D18" s="26">
        <v>21</v>
      </c>
      <c r="E18" s="26">
        <v>23</v>
      </c>
      <c r="F18" s="26">
        <v>12</v>
      </c>
      <c r="G18" s="26">
        <f t="shared" si="0"/>
        <v>84</v>
      </c>
      <c r="H18" s="26" t="str">
        <f t="shared" si="2"/>
        <v>EXCELLENT</v>
      </c>
      <c r="I18" s="26" t="s">
        <v>196</v>
      </c>
      <c r="J18" s="26" t="s">
        <v>197</v>
      </c>
      <c r="N18" s="26">
        <v>55</v>
      </c>
      <c r="O18" s="26" t="str">
        <f t="shared" si="1"/>
        <v>Adult</v>
      </c>
      <c r="R18" s="28" t="s">
        <v>198</v>
      </c>
      <c r="S18" s="26">
        <v>10</v>
      </c>
      <c r="T18" s="26">
        <v>34</v>
      </c>
      <c r="U18" s="26" t="str">
        <f t="shared" si="3"/>
        <v>Fail</v>
      </c>
      <c r="V18" s="26" t="str">
        <f t="shared" si="4"/>
        <v>REPEAT</v>
      </c>
    </row>
    <row r="19" spans="2:28" ht="15" x14ac:dyDescent="0.25">
      <c r="B19" s="25" t="s">
        <v>195</v>
      </c>
      <c r="C19" s="26">
        <v>22</v>
      </c>
      <c r="D19" s="26">
        <v>24</v>
      </c>
      <c r="E19" s="26">
        <v>23</v>
      </c>
      <c r="F19" s="26">
        <v>22</v>
      </c>
      <c r="G19" s="26">
        <f t="shared" si="0"/>
        <v>91</v>
      </c>
      <c r="H19" s="26" t="str">
        <f t="shared" si="2"/>
        <v>EXCELLENT</v>
      </c>
      <c r="I19" s="26" t="s">
        <v>199</v>
      </c>
      <c r="J19" s="26" t="s">
        <v>200</v>
      </c>
      <c r="N19" s="26">
        <v>60</v>
      </c>
      <c r="O19" s="26" t="str">
        <f t="shared" si="1"/>
        <v>Elder</v>
      </c>
      <c r="R19" s="28" t="s">
        <v>201</v>
      </c>
      <c r="S19" s="26">
        <v>22</v>
      </c>
      <c r="T19" s="26">
        <v>88</v>
      </c>
      <c r="U19" s="26" t="str">
        <f t="shared" si="3"/>
        <v>Promoted</v>
      </c>
      <c r="V19" s="26" t="str">
        <f t="shared" si="4"/>
        <v>REPEAT</v>
      </c>
    </row>
    <row r="20" spans="2:28" ht="15" x14ac:dyDescent="0.25">
      <c r="B20" s="25" t="s">
        <v>198</v>
      </c>
      <c r="C20" s="26">
        <v>12</v>
      </c>
      <c r="D20" s="26">
        <v>1</v>
      </c>
      <c r="E20" s="26">
        <v>12</v>
      </c>
      <c r="F20" s="26">
        <v>30</v>
      </c>
      <c r="G20" s="26">
        <f t="shared" si="0"/>
        <v>55</v>
      </c>
      <c r="H20" s="26" t="str">
        <f t="shared" si="2"/>
        <v>AVERAGE</v>
      </c>
      <c r="I20" s="26" t="s">
        <v>202</v>
      </c>
      <c r="J20" s="26" t="s">
        <v>203</v>
      </c>
      <c r="N20" s="26">
        <v>57</v>
      </c>
      <c r="O20" s="26" t="str">
        <f t="shared" si="1"/>
        <v>Elder</v>
      </c>
      <c r="R20" s="28" t="s">
        <v>204</v>
      </c>
      <c r="S20" s="26">
        <v>40</v>
      </c>
      <c r="T20" s="26">
        <v>55</v>
      </c>
      <c r="U20" s="26" t="str">
        <f t="shared" si="3"/>
        <v>Promoted</v>
      </c>
      <c r="V20" s="26" t="str">
        <f t="shared" si="4"/>
        <v>REPEAT</v>
      </c>
    </row>
    <row r="21" spans="2:28" ht="15.75" customHeight="1" x14ac:dyDescent="0.25">
      <c r="B21" s="25" t="s">
        <v>201</v>
      </c>
      <c r="C21" s="26">
        <v>2</v>
      </c>
      <c r="D21" s="26">
        <v>2</v>
      </c>
      <c r="E21" s="26">
        <v>3</v>
      </c>
      <c r="F21" s="26">
        <v>11</v>
      </c>
      <c r="G21" s="26">
        <f t="shared" si="0"/>
        <v>18</v>
      </c>
      <c r="H21" s="26" t="str">
        <f t="shared" si="2"/>
        <v>FAIL</v>
      </c>
      <c r="N21" s="26">
        <v>80</v>
      </c>
      <c r="O21" s="26" t="str">
        <f t="shared" si="1"/>
        <v>Senior Citizen</v>
      </c>
      <c r="R21" s="28" t="s">
        <v>205</v>
      </c>
      <c r="S21" s="26">
        <v>22</v>
      </c>
      <c r="T21" s="26">
        <v>89</v>
      </c>
      <c r="U21" s="26" t="str">
        <f t="shared" si="3"/>
        <v>Promoted</v>
      </c>
      <c r="V21" s="26" t="str">
        <f t="shared" si="4"/>
        <v>REPEAT</v>
      </c>
      <c r="X21" t="s">
        <v>215</v>
      </c>
    </row>
    <row r="22" spans="2:28" ht="15.75" customHeight="1" x14ac:dyDescent="0.25">
      <c r="B22" s="25" t="s">
        <v>204</v>
      </c>
      <c r="C22" s="26">
        <v>11</v>
      </c>
      <c r="D22" s="26">
        <v>12</v>
      </c>
      <c r="E22" s="26">
        <v>25</v>
      </c>
      <c r="F22" s="26">
        <v>4</v>
      </c>
      <c r="G22" s="26">
        <f t="shared" si="0"/>
        <v>52</v>
      </c>
      <c r="H22" s="26" t="str">
        <f t="shared" si="2"/>
        <v>AVERAGE</v>
      </c>
      <c r="N22" s="26">
        <v>79</v>
      </c>
      <c r="O22" s="26" t="str">
        <f t="shared" si="1"/>
        <v>Senior Citizen</v>
      </c>
      <c r="R22" s="28" t="s">
        <v>206</v>
      </c>
      <c r="S22" s="26">
        <v>64</v>
      </c>
      <c r="T22" s="26">
        <v>89</v>
      </c>
      <c r="U22" s="26" t="str">
        <f t="shared" si="3"/>
        <v>Promoted</v>
      </c>
      <c r="V22" s="26" t="str">
        <f t="shared" si="4"/>
        <v>PROMOTED</v>
      </c>
      <c r="X22" t="s">
        <v>216</v>
      </c>
    </row>
    <row r="23" spans="2:28" ht="15.75" customHeight="1" x14ac:dyDescent="0.25">
      <c r="B23" s="25" t="s">
        <v>205</v>
      </c>
      <c r="C23" s="26">
        <v>10</v>
      </c>
      <c r="D23" s="26">
        <v>4</v>
      </c>
      <c r="E23" s="26">
        <v>11</v>
      </c>
      <c r="F23" s="26">
        <v>12</v>
      </c>
      <c r="G23" s="26">
        <f t="shared" si="0"/>
        <v>37</v>
      </c>
      <c r="H23" s="26" t="str">
        <f t="shared" si="2"/>
        <v>FAIL</v>
      </c>
      <c r="N23" s="26">
        <v>23</v>
      </c>
      <c r="O23" s="26" t="str">
        <f t="shared" si="1"/>
        <v>Youth</v>
      </c>
      <c r="R23" s="28" t="s">
        <v>207</v>
      </c>
      <c r="S23" s="26">
        <v>6</v>
      </c>
      <c r="T23" s="26">
        <v>44</v>
      </c>
      <c r="U23" s="26" t="str">
        <f t="shared" si="3"/>
        <v>Fail</v>
      </c>
      <c r="V23" s="26" t="str">
        <f t="shared" si="4"/>
        <v>REPEAT</v>
      </c>
    </row>
    <row r="24" spans="2:28" ht="15.75" customHeight="1" x14ac:dyDescent="0.25">
      <c r="B24" s="25" t="s">
        <v>206</v>
      </c>
      <c r="C24" s="26">
        <v>22</v>
      </c>
      <c r="D24" s="26">
        <v>6</v>
      </c>
      <c r="E24" s="26">
        <v>22</v>
      </c>
      <c r="F24" s="26">
        <v>10</v>
      </c>
      <c r="G24" s="26">
        <f t="shared" si="0"/>
        <v>60</v>
      </c>
      <c r="H24" s="26" t="str">
        <f t="shared" si="2"/>
        <v>GOOD</v>
      </c>
      <c r="N24" s="26">
        <v>60</v>
      </c>
      <c r="O24" s="26" t="str">
        <f t="shared" si="1"/>
        <v>Elder</v>
      </c>
      <c r="R24" s="28" t="s">
        <v>208</v>
      </c>
      <c r="S24" s="26">
        <v>77</v>
      </c>
      <c r="T24" s="26">
        <v>12</v>
      </c>
      <c r="U24" s="26" t="str">
        <f t="shared" si="3"/>
        <v>Promoted</v>
      </c>
      <c r="V24" s="26" t="str">
        <f t="shared" si="4"/>
        <v>REPEAT</v>
      </c>
    </row>
    <row r="25" spans="2:28" ht="15.75" customHeight="1" x14ac:dyDescent="0.25">
      <c r="B25" s="25" t="s">
        <v>207</v>
      </c>
      <c r="C25" s="26">
        <v>6</v>
      </c>
      <c r="D25" s="26">
        <v>21</v>
      </c>
      <c r="E25" s="26">
        <v>3</v>
      </c>
      <c r="F25" s="26">
        <v>11</v>
      </c>
      <c r="G25" s="26">
        <f t="shared" si="0"/>
        <v>41</v>
      </c>
      <c r="H25" s="26" t="str">
        <f t="shared" si="2"/>
        <v>FAIR</v>
      </c>
      <c r="N25" s="26">
        <v>49</v>
      </c>
      <c r="O25" s="26" t="str">
        <f t="shared" si="1"/>
        <v>Adult</v>
      </c>
      <c r="R25" s="28" t="s">
        <v>209</v>
      </c>
      <c r="S25" s="26">
        <v>76</v>
      </c>
      <c r="T25" s="26">
        <v>90</v>
      </c>
      <c r="U25" s="26" t="str">
        <f t="shared" si="3"/>
        <v>Promoted</v>
      </c>
      <c r="V25" s="26" t="str">
        <f t="shared" si="4"/>
        <v>PROMOTED</v>
      </c>
    </row>
    <row r="26" spans="2:28" ht="15.75" customHeight="1" x14ac:dyDescent="0.25">
      <c r="B26" s="25" t="s">
        <v>208</v>
      </c>
      <c r="C26" s="26">
        <v>10</v>
      </c>
      <c r="D26" s="26">
        <v>9</v>
      </c>
      <c r="E26" s="26">
        <v>12</v>
      </c>
      <c r="F26" s="26">
        <v>2</v>
      </c>
      <c r="G26" s="26">
        <f t="shared" si="0"/>
        <v>33</v>
      </c>
      <c r="H26" s="26" t="str">
        <f t="shared" si="2"/>
        <v>FAIL</v>
      </c>
      <c r="N26" s="26">
        <v>98</v>
      </c>
      <c r="O26" s="26" t="str">
        <f t="shared" si="1"/>
        <v>Senior Citizen</v>
      </c>
      <c r="R26" s="28" t="s">
        <v>210</v>
      </c>
      <c r="S26" s="26">
        <v>88</v>
      </c>
      <c r="T26" s="26">
        <v>12</v>
      </c>
      <c r="U26" s="26" t="str">
        <f t="shared" si="3"/>
        <v>Promoted</v>
      </c>
      <c r="V26" s="26" t="str">
        <f t="shared" si="4"/>
        <v>REPEAT</v>
      </c>
    </row>
    <row r="27" spans="2:28" ht="15.75" customHeight="1" x14ac:dyDescent="0.25">
      <c r="N27" s="26">
        <v>72</v>
      </c>
      <c r="O27" s="26" t="str">
        <f t="shared" si="1"/>
        <v>Senior Citizen</v>
      </c>
      <c r="R27" s="28" t="s">
        <v>211</v>
      </c>
      <c r="S27" s="26">
        <v>96</v>
      </c>
      <c r="T27" s="26">
        <v>66</v>
      </c>
      <c r="U27" s="26" t="str">
        <f t="shared" si="3"/>
        <v>Promoted</v>
      </c>
      <c r="V27" s="26" t="str">
        <f t="shared" si="4"/>
        <v>PROMOTED</v>
      </c>
    </row>
    <row r="28" spans="2:28" ht="15.75" customHeight="1" x14ac:dyDescent="0.25">
      <c r="N28" s="26">
        <v>78</v>
      </c>
      <c r="O28" s="26" t="str">
        <f t="shared" si="1"/>
        <v>Senior Citizen</v>
      </c>
      <c r="R28" s="28" t="s">
        <v>157</v>
      </c>
      <c r="S28" s="26">
        <v>59</v>
      </c>
      <c r="T28" s="26">
        <v>88</v>
      </c>
      <c r="U28" s="26" t="str">
        <f t="shared" si="3"/>
        <v>Promoted</v>
      </c>
      <c r="V28" s="26" t="str">
        <f t="shared" si="4"/>
        <v>PROMOTED</v>
      </c>
    </row>
    <row r="29" spans="2:28" ht="15.75" customHeight="1" x14ac:dyDescent="0.25">
      <c r="N29" s="26">
        <v>89</v>
      </c>
      <c r="O29" s="26" t="str">
        <f t="shared" si="1"/>
        <v>Senior Citizen</v>
      </c>
      <c r="R29" s="28" t="s">
        <v>212</v>
      </c>
      <c r="S29" s="26">
        <v>89</v>
      </c>
      <c r="T29" s="26">
        <v>44</v>
      </c>
      <c r="U29" s="26" t="str">
        <f t="shared" si="3"/>
        <v>Promoted</v>
      </c>
      <c r="V29" s="26" t="str">
        <f t="shared" si="4"/>
        <v>REPEAT</v>
      </c>
    </row>
    <row r="30" spans="2:28" ht="15.75" customHeight="1" x14ac:dyDescent="0.25">
      <c r="N30" s="26">
        <v>16</v>
      </c>
      <c r="O30" s="26" t="str">
        <f t="shared" si="1"/>
        <v>Teenager</v>
      </c>
    </row>
    <row r="31" spans="2:28" ht="15.75" customHeight="1" x14ac:dyDescent="0.25">
      <c r="N31" s="26">
        <v>40</v>
      </c>
      <c r="O31" s="26" t="str">
        <f t="shared" si="1"/>
        <v xml:space="preserve"> Young Adult</v>
      </c>
    </row>
    <row r="32" spans="2:28" ht="15.75" customHeight="1" x14ac:dyDescent="0.25">
      <c r="N32" s="26">
        <v>59</v>
      </c>
      <c r="O32" s="26" t="str">
        <f t="shared" si="1"/>
        <v>Elder</v>
      </c>
    </row>
    <row r="33" spans="14:15" ht="15.75" customHeight="1" x14ac:dyDescent="0.25">
      <c r="N33" s="26">
        <v>75</v>
      </c>
      <c r="O33" s="26" t="str">
        <f t="shared" si="1"/>
        <v>Senior Citizen</v>
      </c>
    </row>
    <row r="34" spans="14:15" ht="15.75" customHeight="1" x14ac:dyDescent="0.25">
      <c r="N34" s="26">
        <v>66</v>
      </c>
      <c r="O34" s="26" t="str">
        <f t="shared" si="1"/>
        <v>Elder</v>
      </c>
    </row>
    <row r="35" spans="14:15" ht="15.75" customHeight="1" x14ac:dyDescent="0.25">
      <c r="N35" s="26">
        <v>30</v>
      </c>
      <c r="O35" s="26" t="str">
        <f t="shared" si="1"/>
        <v>Youth</v>
      </c>
    </row>
    <row r="36" spans="14:15" ht="15.75" customHeight="1" x14ac:dyDescent="0.2"/>
    <row r="37" spans="14:15" ht="15.75" customHeight="1" x14ac:dyDescent="0.2"/>
    <row r="38" spans="14:15" ht="15.75" customHeight="1" x14ac:dyDescent="0.2"/>
    <row r="39" spans="14:15" ht="15.75" customHeight="1" x14ac:dyDescent="0.2"/>
    <row r="40" spans="14:15" ht="15.75" customHeight="1" x14ac:dyDescent="0.2"/>
    <row r="41" spans="14:15" ht="15.75" customHeight="1" x14ac:dyDescent="0.2"/>
    <row r="42" spans="14:15" ht="15.75" customHeight="1" x14ac:dyDescent="0.2"/>
    <row r="43" spans="14:15" ht="15.75" customHeight="1" x14ac:dyDescent="0.2"/>
    <row r="44" spans="14:15" ht="15.75" customHeight="1" x14ac:dyDescent="0.2"/>
    <row r="45" spans="14:15" ht="15.75" customHeight="1" x14ac:dyDescent="0.2"/>
    <row r="46" spans="14:15" ht="15.75" customHeight="1" x14ac:dyDescent="0.2"/>
    <row r="47" spans="14:15" ht="15.75" customHeight="1" x14ac:dyDescent="0.2"/>
    <row r="48" spans="14:15" ht="15.75" customHeigh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8872-357C-464B-822B-33181E61054E}">
  <dimension ref="C1:J17"/>
  <sheetViews>
    <sheetView tabSelected="1" workbookViewId="0">
      <selection activeCell="G20" sqref="G20"/>
    </sheetView>
  </sheetViews>
  <sheetFormatPr defaultRowHeight="14.25" x14ac:dyDescent="0.2"/>
  <cols>
    <col min="3" max="3" width="30.25" bestFit="1" customWidth="1"/>
    <col min="6" max="6" width="11.375" bestFit="1" customWidth="1"/>
    <col min="7" max="7" width="8.25" bestFit="1" customWidth="1"/>
  </cols>
  <sheetData>
    <row r="1" spans="3:10" x14ac:dyDescent="0.2">
      <c r="C1" t="s">
        <v>109</v>
      </c>
    </row>
    <row r="2" spans="3:10" x14ac:dyDescent="0.2">
      <c r="C2" t="s">
        <v>110</v>
      </c>
    </row>
    <row r="3" spans="3:10" ht="15" x14ac:dyDescent="0.25">
      <c r="C3" s="12" t="s">
        <v>85</v>
      </c>
      <c r="D3" s="13" t="s">
        <v>86</v>
      </c>
      <c r="E3" s="13" t="s">
        <v>87</v>
      </c>
      <c r="F3" s="14" t="s">
        <v>88</v>
      </c>
      <c r="G3" s="14" t="s">
        <v>89</v>
      </c>
      <c r="I3" s="14" t="s">
        <v>90</v>
      </c>
      <c r="J3" s="15"/>
    </row>
    <row r="4" spans="3:10" ht="15" x14ac:dyDescent="0.25">
      <c r="C4" s="13">
        <v>3211</v>
      </c>
      <c r="D4" s="16" t="s">
        <v>91</v>
      </c>
      <c r="E4" s="17">
        <v>27095</v>
      </c>
      <c r="F4" s="18">
        <v>0.2</v>
      </c>
      <c r="G4" s="19"/>
      <c r="I4" s="14" t="s">
        <v>92</v>
      </c>
      <c r="J4" s="15"/>
    </row>
    <row r="5" spans="3:10" ht="15" x14ac:dyDescent="0.25">
      <c r="C5" s="13">
        <v>2955</v>
      </c>
      <c r="D5" s="16" t="s">
        <v>93</v>
      </c>
      <c r="E5" s="17">
        <v>48696</v>
      </c>
      <c r="F5" s="18">
        <v>0.15</v>
      </c>
      <c r="G5" s="19"/>
      <c r="I5" s="14" t="s">
        <v>94</v>
      </c>
      <c r="J5" s="20"/>
    </row>
    <row r="6" spans="3:10" ht="15" x14ac:dyDescent="0.25">
      <c r="C6" s="13">
        <v>3159</v>
      </c>
      <c r="D6" s="16" t="s">
        <v>95</v>
      </c>
      <c r="E6" s="17">
        <v>29970</v>
      </c>
      <c r="F6" s="18">
        <v>0.25</v>
      </c>
      <c r="G6" s="19"/>
      <c r="I6" s="14" t="s">
        <v>96</v>
      </c>
      <c r="J6" s="20"/>
    </row>
    <row r="7" spans="3:10" ht="15" x14ac:dyDescent="0.25">
      <c r="C7" s="13">
        <v>3004</v>
      </c>
      <c r="D7" s="16" t="s">
        <v>97</v>
      </c>
      <c r="E7" s="17">
        <v>15667</v>
      </c>
      <c r="F7" s="18">
        <v>0.2</v>
      </c>
      <c r="G7" s="19"/>
      <c r="I7" s="14" t="s">
        <v>98</v>
      </c>
      <c r="J7" s="20"/>
    </row>
    <row r="8" spans="3:10" ht="15" x14ac:dyDescent="0.25">
      <c r="C8" s="13">
        <v>4534</v>
      </c>
      <c r="D8" s="16" t="s">
        <v>99</v>
      </c>
      <c r="E8" s="17">
        <v>46321</v>
      </c>
      <c r="F8" s="18">
        <v>0.2</v>
      </c>
      <c r="G8" s="19"/>
    </row>
    <row r="9" spans="3:10" ht="15" x14ac:dyDescent="0.25">
      <c r="C9" s="13">
        <v>2220</v>
      </c>
      <c r="D9" s="16" t="s">
        <v>100</v>
      </c>
      <c r="E9" s="17">
        <v>47003</v>
      </c>
      <c r="F9" s="18">
        <v>0.2</v>
      </c>
      <c r="G9" s="19"/>
    </row>
    <row r="10" spans="3:10" ht="15" x14ac:dyDescent="0.25">
      <c r="C10" s="13">
        <v>1796</v>
      </c>
      <c r="D10" s="16" t="s">
        <v>101</v>
      </c>
      <c r="E10" s="17">
        <v>41595</v>
      </c>
      <c r="F10" s="18">
        <v>0.2</v>
      </c>
      <c r="G10" s="19"/>
    </row>
    <row r="11" spans="3:10" ht="15" x14ac:dyDescent="0.25">
      <c r="C11" s="13">
        <v>3558</v>
      </c>
      <c r="D11" s="16" t="s">
        <v>102</v>
      </c>
      <c r="E11" s="17">
        <v>41552</v>
      </c>
      <c r="F11" s="18">
        <v>0.2</v>
      </c>
      <c r="G11" s="19"/>
    </row>
    <row r="12" spans="3:10" ht="15" x14ac:dyDescent="0.25">
      <c r="C12" s="13">
        <v>1437</v>
      </c>
      <c r="D12" s="16" t="s">
        <v>103</v>
      </c>
      <c r="E12" s="17">
        <v>23299</v>
      </c>
      <c r="F12" s="18">
        <v>0.3</v>
      </c>
      <c r="G12" s="19"/>
    </row>
    <row r="13" spans="3:10" ht="15" x14ac:dyDescent="0.25">
      <c r="C13" s="13">
        <v>1336</v>
      </c>
      <c r="D13" s="16" t="s">
        <v>104</v>
      </c>
      <c r="E13" s="17">
        <v>34014</v>
      </c>
      <c r="F13" s="18">
        <v>0.15</v>
      </c>
      <c r="G13" s="19"/>
    </row>
    <row r="14" spans="3:10" ht="15" x14ac:dyDescent="0.25">
      <c r="C14" s="13">
        <v>2044</v>
      </c>
      <c r="D14" s="16" t="s">
        <v>105</v>
      </c>
      <c r="E14" s="17">
        <v>43247</v>
      </c>
      <c r="F14" s="18">
        <v>0.15</v>
      </c>
      <c r="G14" s="19"/>
    </row>
    <row r="15" spans="3:10" ht="15" x14ac:dyDescent="0.25">
      <c r="C15" s="13">
        <v>3320</v>
      </c>
      <c r="D15" s="16" t="s">
        <v>106</v>
      </c>
      <c r="E15" s="17">
        <v>28305</v>
      </c>
      <c r="F15" s="18">
        <v>0.15</v>
      </c>
      <c r="G15" s="19"/>
    </row>
    <row r="16" spans="3:10" ht="15" x14ac:dyDescent="0.25">
      <c r="C16" s="13">
        <v>1534</v>
      </c>
      <c r="D16" s="16" t="s">
        <v>107</v>
      </c>
      <c r="E16" s="17">
        <v>39218</v>
      </c>
      <c r="F16" s="18">
        <v>0.2</v>
      </c>
      <c r="G16" s="19"/>
      <c r="J16" s="21"/>
    </row>
    <row r="17" spans="3:7" ht="15" x14ac:dyDescent="0.25">
      <c r="C17" s="13">
        <v>3989</v>
      </c>
      <c r="D17" s="16" t="s">
        <v>108</v>
      </c>
      <c r="E17" s="17">
        <v>30468</v>
      </c>
      <c r="F17" s="18">
        <v>0.2</v>
      </c>
      <c r="G17"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Summary</vt:lpstr>
      <vt:lpstr>Text Cleaning</vt:lpstr>
      <vt:lpstr>Cleaning 1</vt:lpstr>
      <vt:lpstr>Flash Fill</vt:lpstr>
      <vt:lpstr>IF AND OR</vt:lpstr>
      <vt:lpstr>Named Ranges</vt:lpstr>
      <vt:lpstr>Price_Per_Unit</vt:lpstr>
      <vt:lpstr>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Elijah Adeniji</cp:lastModifiedBy>
  <dcterms:created xsi:type="dcterms:W3CDTF">2021-11-11T18:30:05Z</dcterms:created>
  <dcterms:modified xsi:type="dcterms:W3CDTF">2026-05-31T23:43:19Z</dcterms:modified>
</cp:coreProperties>
</file>