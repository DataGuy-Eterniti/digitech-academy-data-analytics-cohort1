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67D36FF0-45DC-425F-8463-AF1E12FB1D39}" xr6:coauthVersionLast="47" xr6:coauthVersionMax="47" xr10:uidLastSave="{00000000-0000-0000-0000-000000000000}"/>
  <bookViews>
    <workbookView xWindow="-120" yWindow="-120" windowWidth="20730" windowHeight="11160" xr2:uid="{453A81FA-2418-40E9-B80A-8800BF668BC0}"/>
  </bookViews>
  <sheets>
    <sheet name="Summary" sheetId="2" r:id="rId1"/>
    <sheet name="COUNTIFS and SUMIFS" sheetId="1" r:id="rId2"/>
    <sheet name="Handling Errors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" i="3" l="1"/>
  <c r="G12" i="3"/>
  <c r="G11" i="3"/>
  <c r="G10" i="3"/>
  <c r="G9" i="3"/>
  <c r="G8" i="3"/>
  <c r="G7" i="3"/>
  <c r="G6" i="3"/>
  <c r="G5" i="3"/>
  <c r="J5" i="3" a="1"/>
  <c r="J5" i="3"/>
  <c r="J6" i="3" a="1"/>
  <c r="J6" i="3"/>
  <c r="J7" i="3" a="1"/>
  <c r="J7" i="3"/>
  <c r="J8" i="3" a="1"/>
  <c r="J8" i="3"/>
  <c r="J9" i="3" a="1"/>
  <c r="J9" i="3"/>
  <c r="J10" i="3" a="1"/>
  <c r="J10" i="3"/>
  <c r="J11" i="3" a="1"/>
  <c r="J11" i="3"/>
  <c r="J12" i="3" a="1"/>
  <c r="J12" i="3"/>
  <c r="J13" i="3" a="1"/>
  <c r="J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<sst xmlns="http://schemas.openxmlformats.org/spreadsheetml/2006/main" count="110" uniqueCount="62">
  <si>
    <t>Total Sales</t>
  </si>
  <si>
    <t>Company</t>
  </si>
  <si>
    <t>Angelina Webb</t>
  </si>
  <si>
    <t>Alison Bryant</t>
  </si>
  <si>
    <t>Jenna Norman</t>
  </si>
  <si>
    <t>Abel Hoffman</t>
  </si>
  <si>
    <t>Ervin Ray</t>
  </si>
  <si>
    <t>Leonard Colon</t>
  </si>
  <si>
    <t>Christine Townsend</t>
  </si>
  <si>
    <t>Ira Drake</t>
  </si>
  <si>
    <t>Bruce Swanson</t>
  </si>
  <si>
    <t>Stacey Ball</t>
  </si>
  <si>
    <t>Ron Moore</t>
  </si>
  <si>
    <t>Mathew Lamb</t>
  </si>
  <si>
    <t>Computech</t>
  </si>
  <si>
    <t>MicroWorld</t>
  </si>
  <si>
    <t>Sales Manager</t>
  </si>
  <si>
    <t>Sales Rep</t>
  </si>
  <si>
    <t>Job Title</t>
  </si>
  <si>
    <t>Sales Team</t>
  </si>
  <si>
    <t>CRITERIA</t>
  </si>
  <si>
    <t>SUMIF(S)</t>
  </si>
  <si>
    <t>COUNTIF(S)</t>
  </si>
  <si>
    <t>COUNTIF(S) and SUMIF(S)</t>
  </si>
  <si>
    <t>Total Sales for all Sales Reps at MicroWorld</t>
  </si>
  <si>
    <t>Total Sales for MicroWorld</t>
  </si>
  <si>
    <t>Total Sales for all Sales Reps at MicroWorld with more than 7000 in Sales</t>
  </si>
  <si>
    <t>Total Number of Employees at Computech</t>
  </si>
  <si>
    <t>Total Number of Employees at Computech with the job title Sales Manager</t>
  </si>
  <si>
    <t>&gt;7000</t>
  </si>
  <si>
    <t>Total Number of Employees at Computech with the job title Sales Manager and less than 8000 in Sales</t>
  </si>
  <si>
    <t>&lt;9000</t>
  </si>
  <si>
    <t>AVERAGEIF(S)</t>
  </si>
  <si>
    <t>DAY 2 OBJECTIVES B</t>
  </si>
  <si>
    <t>TEXT FUNCTIONS PRT II</t>
  </si>
  <si>
    <t>CountIFs and SumIFs</t>
  </si>
  <si>
    <t>CountIF and SumIF</t>
  </si>
  <si>
    <t>Nested IFs</t>
  </si>
  <si>
    <t>Employee Name</t>
  </si>
  <si>
    <t>Building</t>
  </si>
  <si>
    <t>Department</t>
  </si>
  <si>
    <t>Hire Date</t>
  </si>
  <si>
    <t>Years</t>
  </si>
  <si>
    <t>Salary</t>
  </si>
  <si>
    <t>Job Rating</t>
  </si>
  <si>
    <t>Bonus</t>
  </si>
  <si>
    <t>Page, Lisa</t>
  </si>
  <si>
    <t>West</t>
  </si>
  <si>
    <t>ADC</t>
  </si>
  <si>
    <t>Taylor, Hector</t>
  </si>
  <si>
    <t>Dawson, Jonathan</t>
  </si>
  <si>
    <t>Duran, Brian</t>
  </si>
  <si>
    <t>Taft</t>
  </si>
  <si>
    <t>Weber, Larry</t>
  </si>
  <si>
    <t>Watson</t>
  </si>
  <si>
    <t>Pratt, Erik</t>
  </si>
  <si>
    <t>North</t>
  </si>
  <si>
    <t>Training</t>
  </si>
  <si>
    <t>O'Connor, Kent</t>
  </si>
  <si>
    <t>Spencer, Boyd</t>
  </si>
  <si>
    <t>Main</t>
  </si>
  <si>
    <t>Wiggins, 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</si>
</sst>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Lato Black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66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164" fontId="0" fillId="0" borderId="1" xfId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0" xfId="0" applyFont="1" applyFill="1"/>
    <xf numFmtId="0" fontId="0" fillId="3" borderId="0" xfId="0" applyFill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1" fillId="3" borderId="1" xfId="0" applyFont="1" applyFill="1" applyBorder="1"/>
    <xf numFmtId="0" fontId="10" fillId="0" borderId="0" xfId="2" applyFont="1" applyProtection="1">
      <protection locked="0"/>
    </xf>
    <xf numFmtId="0" fontId="10" fillId="0" borderId="0" xfId="2" applyFont="1" applyAlignment="1" applyProtection="1">
      <alignment horizontal="center"/>
      <protection locked="0"/>
    </xf>
    <xf numFmtId="14" fontId="10" fillId="0" borderId="0" xfId="2" applyNumberFormat="1" applyFont="1" applyProtection="1">
      <protection locked="0"/>
    </xf>
    <xf numFmtId="0" fontId="10" fillId="0" borderId="0" xfId="2" applyFont="1"/>
    <xf numFmtId="164" fontId="10" fillId="0" borderId="0" xfId="1" applyFont="1" applyAlignment="1" applyProtection="1">
      <protection locked="0"/>
    </xf>
    <xf numFmtId="166" fontId="10" fillId="0" borderId="0" xfId="3" applyNumberFormat="1" applyFont="1" applyAlignment="1" applyProtection="1">
      <protection locked="0"/>
    </xf>
    <xf numFmtId="0" fontId="11" fillId="0" borderId="0" xfId="2" applyFont="1" applyProtection="1">
      <protection locked="0"/>
    </xf>
    <xf numFmtId="0" fontId="11" fillId="0" borderId="0" xfId="2" applyFont="1" applyAlignment="1" applyProtection="1">
      <alignment horizontal="center"/>
      <protection locked="0"/>
    </xf>
    <xf numFmtId="14" fontId="11" fillId="0" borderId="0" xfId="2" applyNumberFormat="1" applyFont="1" applyProtection="1">
      <protection locked="0"/>
    </xf>
    <xf numFmtId="0" fontId="11" fillId="0" borderId="0" xfId="2" applyFont="1"/>
    <xf numFmtId="164" fontId="11" fillId="0" borderId="0" xfId="1" applyFont="1" applyAlignment="1" applyProtection="1">
      <protection locked="0"/>
    </xf>
    <xf numFmtId="166" fontId="11" fillId="0" borderId="0" xfId="3" applyNumberFormat="1" applyFont="1" applyAlignment="1" applyProtection="1">
      <protection locked="0"/>
    </xf>
    <xf numFmtId="0" fontId="11" fillId="0" borderId="1" xfId="2" applyFont="1" applyBorder="1" applyProtection="1">
      <protection locked="0"/>
    </xf>
    <xf numFmtId="0" fontId="11" fillId="0" borderId="1" xfId="2" applyFont="1" applyBorder="1" applyAlignment="1" applyProtection="1">
      <alignment horizontal="center"/>
      <protection locked="0"/>
    </xf>
    <xf numFmtId="14" fontId="11" fillId="0" borderId="1" xfId="2" applyNumberFormat="1" applyFont="1" applyBorder="1" applyProtection="1">
      <protection locked="0"/>
    </xf>
    <xf numFmtId="167" fontId="11" fillId="0" borderId="1" xfId="4" applyNumberFormat="1" applyFont="1" applyFill="1" applyBorder="1" applyProtection="1"/>
    <xf numFmtId="164" fontId="11" fillId="0" borderId="1" xfId="1" applyFont="1" applyFill="1" applyBorder="1" applyAlignment="1" applyProtection="1">
      <protection locked="0"/>
    </xf>
    <xf numFmtId="167" fontId="11" fillId="0" borderId="1" xfId="4" applyNumberFormat="1" applyFont="1" applyFill="1" applyBorder="1" applyAlignment="1" applyProtection="1">
      <protection locked="0"/>
    </xf>
    <xf numFmtId="0" fontId="12" fillId="3" borderId="1" xfId="2" applyFont="1" applyFill="1" applyBorder="1" applyAlignment="1" applyProtection="1">
      <alignment horizontal="left" vertical="top"/>
      <protection locked="0"/>
    </xf>
    <xf numFmtId="0" fontId="12" fillId="3" borderId="1" xfId="2" applyFont="1" applyFill="1" applyBorder="1" applyAlignment="1" applyProtection="1">
      <alignment horizontal="center" vertical="top"/>
      <protection locked="0"/>
    </xf>
    <xf numFmtId="0" fontId="12" fillId="3" borderId="1" xfId="2" applyFont="1" applyFill="1" applyBorder="1" applyAlignment="1" applyProtection="1">
      <alignment vertical="top"/>
      <protection locked="0"/>
    </xf>
    <xf numFmtId="14" fontId="12" fillId="3" borderId="1" xfId="2" applyNumberFormat="1" applyFont="1" applyFill="1" applyBorder="1" applyAlignment="1" applyProtection="1">
      <alignment horizontal="center" vertical="top"/>
      <protection locked="0"/>
    </xf>
    <xf numFmtId="0" fontId="12" fillId="3" borderId="1" xfId="2" applyFont="1" applyFill="1" applyBorder="1" applyAlignment="1">
      <alignment horizontal="center" vertical="top"/>
    </xf>
    <xf numFmtId="164" fontId="12" fillId="3" borderId="1" xfId="1" applyFont="1" applyFill="1" applyBorder="1" applyAlignment="1" applyProtection="1">
      <alignment horizontal="center" vertical="top"/>
      <protection locked="0"/>
    </xf>
    <xf numFmtId="166" fontId="12" fillId="3" borderId="1" xfId="3" applyNumberFormat="1" applyFont="1" applyFill="1" applyBorder="1" applyAlignment="1" applyProtection="1">
      <alignment horizontal="center" vertical="top"/>
      <protection locked="0"/>
    </xf>
  </cellXfs>
  <cellStyles count="5">
    <cellStyle name="Comma 2" xfId="3" xr:uid="{82D8CAE2-56FB-49B3-907A-FBAC47F181C8}"/>
    <cellStyle name="Comma 2 2" xfId="4" xr:uid="{71B7819F-EF9D-48B8-955D-38C5E41390BD}"/>
    <cellStyle name="Currency" xfId="1" builtinId="4"/>
    <cellStyle name="Normal" xfId="0" builtinId="0"/>
    <cellStyle name="Normal 2" xfId="2" xr:uid="{4934EB63-9495-40BE-B974-A5EEEF596BED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238125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21F3A-2A8E-441C-A438-05366ACE2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20669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5001-075F-467B-8584-6E69616FFEC6}">
  <dimension ref="B5:M7"/>
  <sheetViews>
    <sheetView tabSelected="1" workbookViewId="0">
      <selection activeCell="G14" sqref="G14"/>
    </sheetView>
  </sheetViews>
  <sheetFormatPr defaultRowHeight="15" x14ac:dyDescent="0.25"/>
  <sheetData>
    <row r="5" spans="2:13" ht="21.75" x14ac:dyDescent="0.35">
      <c r="B5" s="10" t="s">
        <v>33</v>
      </c>
      <c r="C5" s="10"/>
      <c r="D5" s="10"/>
      <c r="E5" s="10"/>
      <c r="F5" s="10"/>
      <c r="G5" s="10"/>
      <c r="H5" s="11"/>
      <c r="I5" s="11"/>
      <c r="J5" s="11"/>
      <c r="K5" s="11"/>
      <c r="L5" s="11"/>
      <c r="M5" s="11"/>
    </row>
    <row r="6" spans="2:13" ht="21.75" x14ac:dyDescent="0.25">
      <c r="B6" s="12" t="s">
        <v>34</v>
      </c>
      <c r="C6" s="12"/>
      <c r="D6" s="12"/>
      <c r="E6" s="12"/>
      <c r="F6" s="12"/>
      <c r="G6" s="12"/>
      <c r="H6" s="13"/>
      <c r="I6" s="13"/>
      <c r="J6" s="11"/>
      <c r="K6" s="11"/>
      <c r="L6" s="11"/>
      <c r="M6" s="11"/>
    </row>
    <row r="7" spans="2:13" ht="21.75" x14ac:dyDescent="0.25">
      <c r="B7" s="12"/>
      <c r="C7" s="12"/>
      <c r="D7" s="12"/>
      <c r="E7" s="12"/>
      <c r="F7" s="12"/>
      <c r="G7" s="12"/>
      <c r="H7" s="14"/>
      <c r="I7" s="14"/>
      <c r="J7" s="11"/>
      <c r="K7" s="11"/>
      <c r="L7" s="11"/>
      <c r="M7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B055-B0A0-44D4-8B08-23F87706DD86}">
  <dimension ref="A1:J21"/>
  <sheetViews>
    <sheetView showGridLines="0" topLeftCell="A2" zoomScale="110" zoomScaleNormal="110" workbookViewId="0">
      <selection activeCell="C19" sqref="C19"/>
    </sheetView>
  </sheetViews>
  <sheetFormatPr defaultRowHeight="15" x14ac:dyDescent="0.25"/>
  <cols>
    <col min="1" max="1" width="19" customWidth="1"/>
    <col min="2" max="2" width="18.42578125" bestFit="1" customWidth="1"/>
    <col min="3" max="3" width="14.28515625" customWidth="1"/>
    <col min="4" max="4" width="17" bestFit="1" customWidth="1"/>
    <col min="5" max="5" width="9.42578125" customWidth="1"/>
    <col min="6" max="6" width="11" bestFit="1" customWidth="1"/>
    <col min="7" max="7" width="13.28515625" bestFit="1" customWidth="1"/>
    <col min="8" max="8" width="10.5703125" customWidth="1"/>
    <col min="9" max="9" width="16.7109375" customWidth="1"/>
    <col min="10" max="10" width="11.28515625" customWidth="1"/>
    <col min="11" max="11" width="15.7109375" customWidth="1"/>
    <col min="12" max="12" width="88.140625" bestFit="1" customWidth="1"/>
  </cols>
  <sheetData>
    <row r="1" spans="1:10" s="4" customFormat="1" ht="24" customHeight="1" x14ac:dyDescent="0.25">
      <c r="A1" s="4" t="s">
        <v>23</v>
      </c>
    </row>
    <row r="3" spans="1:10" x14ac:dyDescent="0.25">
      <c r="B3" t="s">
        <v>36</v>
      </c>
    </row>
    <row r="4" spans="1:10" x14ac:dyDescent="0.25">
      <c r="B4" t="s">
        <v>35</v>
      </c>
    </row>
    <row r="5" spans="1:10" x14ac:dyDescent="0.25">
      <c r="A5" s="15" t="s">
        <v>19</v>
      </c>
      <c r="B5" s="15" t="s">
        <v>1</v>
      </c>
      <c r="C5" s="15" t="s">
        <v>18</v>
      </c>
      <c r="D5" s="15" t="s">
        <v>0</v>
      </c>
      <c r="F5" s="7" t="s">
        <v>20</v>
      </c>
      <c r="G5" s="8"/>
      <c r="H5" s="9"/>
      <c r="I5" s="3" t="s">
        <v>21</v>
      </c>
    </row>
    <row r="6" spans="1:10" x14ac:dyDescent="0.25">
      <c r="A6" s="1" t="s">
        <v>2</v>
      </c>
      <c r="B6" s="1" t="s">
        <v>14</v>
      </c>
      <c r="C6" s="1" t="s">
        <v>17</v>
      </c>
      <c r="D6" s="6">
        <v>7270</v>
      </c>
      <c r="F6" s="15" t="s">
        <v>15</v>
      </c>
      <c r="G6" s="2"/>
      <c r="H6" s="1"/>
      <c r="I6" s="6"/>
      <c r="J6" s="5" t="s">
        <v>25</v>
      </c>
    </row>
    <row r="7" spans="1:10" x14ac:dyDescent="0.25">
      <c r="A7" s="1" t="s">
        <v>3</v>
      </c>
      <c r="B7" s="1" t="s">
        <v>15</v>
      </c>
      <c r="C7" s="1" t="s">
        <v>16</v>
      </c>
      <c r="D7" s="6">
        <v>9250</v>
      </c>
      <c r="F7" s="15" t="s">
        <v>15</v>
      </c>
      <c r="G7" s="15" t="s">
        <v>17</v>
      </c>
      <c r="H7" s="1"/>
      <c r="I7" s="6"/>
      <c r="J7" s="5" t="s">
        <v>24</v>
      </c>
    </row>
    <row r="8" spans="1:10" x14ac:dyDescent="0.25">
      <c r="A8" s="1" t="s">
        <v>4</v>
      </c>
      <c r="B8" s="1" t="s">
        <v>15</v>
      </c>
      <c r="C8" s="1" t="s">
        <v>17</v>
      </c>
      <c r="D8" s="6">
        <v>6201</v>
      </c>
      <c r="F8" s="15" t="s">
        <v>15</v>
      </c>
      <c r="G8" s="15" t="s">
        <v>17</v>
      </c>
      <c r="H8" s="15" t="s">
        <v>29</v>
      </c>
      <c r="I8" s="6"/>
      <c r="J8" s="5" t="s">
        <v>26</v>
      </c>
    </row>
    <row r="9" spans="1:10" x14ac:dyDescent="0.25">
      <c r="A9" s="1" t="s">
        <v>5</v>
      </c>
      <c r="B9" s="1" t="s">
        <v>14</v>
      </c>
      <c r="C9" s="1" t="s">
        <v>16</v>
      </c>
      <c r="D9" s="6">
        <v>7480</v>
      </c>
    </row>
    <row r="10" spans="1:10" x14ac:dyDescent="0.25">
      <c r="A10" s="1" t="s">
        <v>6</v>
      </c>
      <c r="B10" s="1" t="s">
        <v>15</v>
      </c>
      <c r="C10" s="1" t="s">
        <v>17</v>
      </c>
      <c r="D10" s="6">
        <v>7139</v>
      </c>
    </row>
    <row r="11" spans="1:10" x14ac:dyDescent="0.25">
      <c r="A11" s="1" t="s">
        <v>7</v>
      </c>
      <c r="B11" s="1" t="s">
        <v>15</v>
      </c>
      <c r="C11" s="1" t="s">
        <v>16</v>
      </c>
      <c r="D11" s="6">
        <v>7764</v>
      </c>
    </row>
    <row r="12" spans="1:10" x14ac:dyDescent="0.25">
      <c r="A12" s="1" t="s">
        <v>8</v>
      </c>
      <c r="B12" s="1" t="s">
        <v>14</v>
      </c>
      <c r="C12" s="1" t="s">
        <v>16</v>
      </c>
      <c r="D12" s="6">
        <v>9240</v>
      </c>
    </row>
    <row r="13" spans="1:10" x14ac:dyDescent="0.25">
      <c r="A13" s="1" t="s">
        <v>9</v>
      </c>
      <c r="B13" s="1" t="s">
        <v>14</v>
      </c>
      <c r="C13" s="1" t="s">
        <v>17</v>
      </c>
      <c r="D13" s="6">
        <v>9329</v>
      </c>
      <c r="F13" s="7" t="s">
        <v>20</v>
      </c>
      <c r="G13" s="8"/>
      <c r="H13" s="9"/>
      <c r="I13" s="3" t="s">
        <v>22</v>
      </c>
    </row>
    <row r="14" spans="1:10" x14ac:dyDescent="0.25">
      <c r="A14" s="1" t="s">
        <v>10</v>
      </c>
      <c r="B14" s="1" t="s">
        <v>15</v>
      </c>
      <c r="C14" s="1" t="s">
        <v>16</v>
      </c>
      <c r="D14" s="6">
        <v>5404</v>
      </c>
      <c r="F14" s="15" t="s">
        <v>14</v>
      </c>
      <c r="G14" s="2"/>
      <c r="H14" s="1"/>
      <c r="I14" s="1"/>
      <c r="J14" s="5" t="s">
        <v>27</v>
      </c>
    </row>
    <row r="15" spans="1:10" x14ac:dyDescent="0.25">
      <c r="A15" s="1" t="s">
        <v>11</v>
      </c>
      <c r="B15" s="1" t="s">
        <v>14</v>
      </c>
      <c r="C15" s="1" t="s">
        <v>17</v>
      </c>
      <c r="D15" s="6">
        <v>6860</v>
      </c>
      <c r="F15" s="15" t="s">
        <v>14</v>
      </c>
      <c r="G15" s="15" t="s">
        <v>16</v>
      </c>
      <c r="H15" s="1"/>
      <c r="I15" s="1"/>
      <c r="J15" s="5" t="s">
        <v>28</v>
      </c>
    </row>
    <row r="16" spans="1:10" x14ac:dyDescent="0.25">
      <c r="A16" s="1" t="s">
        <v>12</v>
      </c>
      <c r="B16" s="1" t="s">
        <v>14</v>
      </c>
      <c r="C16" s="1" t="s">
        <v>16</v>
      </c>
      <c r="D16" s="6">
        <v>7469</v>
      </c>
      <c r="F16" s="15" t="s">
        <v>14</v>
      </c>
      <c r="G16" s="15" t="s">
        <v>16</v>
      </c>
      <c r="H16" s="15" t="s">
        <v>31</v>
      </c>
      <c r="I16" s="1"/>
      <c r="J16" s="5" t="s">
        <v>30</v>
      </c>
    </row>
    <row r="17" spans="1:9" x14ac:dyDescent="0.25">
      <c r="A17" s="1" t="s">
        <v>13</v>
      </c>
      <c r="B17" s="1" t="s">
        <v>15</v>
      </c>
      <c r="C17" s="1" t="s">
        <v>16</v>
      </c>
      <c r="D17" s="6">
        <v>9195</v>
      </c>
    </row>
    <row r="19" spans="1:9" x14ac:dyDescent="0.25">
      <c r="F19" s="7" t="s">
        <v>20</v>
      </c>
      <c r="G19" s="8"/>
      <c r="H19" s="9"/>
      <c r="I19" s="3" t="s">
        <v>32</v>
      </c>
    </row>
    <row r="20" spans="1:9" x14ac:dyDescent="0.25">
      <c r="F20" s="15" t="s">
        <v>14</v>
      </c>
      <c r="G20" s="2"/>
      <c r="H20" s="1"/>
      <c r="I20" s="6"/>
    </row>
    <row r="21" spans="1:9" x14ac:dyDescent="0.25">
      <c r="F21" s="15" t="s">
        <v>14</v>
      </c>
      <c r="G21" s="15" t="s">
        <v>17</v>
      </c>
      <c r="H21" s="1"/>
      <c r="I21" s="6"/>
    </row>
  </sheetData>
  <mergeCells count="3">
    <mergeCell ref="F5:H5"/>
    <mergeCell ref="F13:H13"/>
    <mergeCell ref="F19:H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C36A-2B8E-4AF5-ACC4-64C3E8D6AD16}">
  <dimension ref="C2:M13"/>
  <sheetViews>
    <sheetView workbookViewId="0">
      <selection activeCell="H17" sqref="H17"/>
    </sheetView>
  </sheetViews>
  <sheetFormatPr defaultRowHeight="15" x14ac:dyDescent="0.25"/>
  <cols>
    <col min="6" max="6" width="10.7109375" bestFit="1" customWidth="1"/>
    <col min="8" max="8" width="12.5703125" bestFit="1" customWidth="1"/>
    <col min="12" max="12" width="12.5703125" bestFit="1" customWidth="1"/>
    <col min="13" max="13" width="8.42578125" bestFit="1" customWidth="1"/>
  </cols>
  <sheetData>
    <row r="2" spans="3:13" ht="18.75" x14ac:dyDescent="0.3">
      <c r="C2" s="16" t="s">
        <v>37</v>
      </c>
      <c r="D2" s="17"/>
      <c r="E2" s="16"/>
      <c r="F2" s="18"/>
      <c r="G2" s="19"/>
      <c r="H2" s="20"/>
      <c r="I2" s="16"/>
      <c r="J2" s="21"/>
      <c r="K2" s="16"/>
      <c r="L2" s="16"/>
      <c r="M2" s="16"/>
    </row>
    <row r="3" spans="3:13" x14ac:dyDescent="0.25">
      <c r="C3" s="22"/>
      <c r="D3" s="23"/>
      <c r="E3" s="22"/>
      <c r="F3" s="24"/>
      <c r="G3" s="25"/>
      <c r="H3" s="26"/>
      <c r="I3" s="22"/>
      <c r="J3" s="27"/>
      <c r="K3" s="22"/>
      <c r="L3" s="22"/>
      <c r="M3" s="22"/>
    </row>
    <row r="4" spans="3:13" ht="15.75" x14ac:dyDescent="0.25">
      <c r="C4" s="34" t="s">
        <v>38</v>
      </c>
      <c r="D4" s="35" t="s">
        <v>39</v>
      </c>
      <c r="E4" s="36" t="s">
        <v>40</v>
      </c>
      <c r="F4" s="37" t="s">
        <v>41</v>
      </c>
      <c r="G4" s="38" t="s">
        <v>42</v>
      </c>
      <c r="H4" s="39" t="s">
        <v>43</v>
      </c>
      <c r="I4" s="35" t="s">
        <v>44</v>
      </c>
      <c r="J4" s="40" t="s">
        <v>45</v>
      </c>
      <c r="K4" s="22"/>
      <c r="L4" s="40" t="s">
        <v>44</v>
      </c>
      <c r="M4" s="40" t="s">
        <v>45</v>
      </c>
    </row>
    <row r="5" spans="3:13" x14ac:dyDescent="0.25">
      <c r="C5" s="28" t="s">
        <v>46</v>
      </c>
      <c r="D5" s="29" t="s">
        <v>47</v>
      </c>
      <c r="E5" s="28" t="s">
        <v>48</v>
      </c>
      <c r="F5" s="30">
        <v>37249</v>
      </c>
      <c r="G5" s="31">
        <f t="shared" ref="G5:G13" ca="1" si="0">DATEDIF(F5,TODAY(),"Y")</f>
        <v>24</v>
      </c>
      <c r="H5" s="32">
        <v>60981</v>
      </c>
      <c r="I5" s="29">
        <v>1</v>
      </c>
      <c r="J5" s="33" t="e" cm="1">
        <f t="array" aca="1" ref="J5" ca="1">_xlfn.IFS(I5=$J$4,$K$4,I5=$J$5,$K$5)</f>
        <v>#N/A</v>
      </c>
      <c r="K5" s="22"/>
      <c r="L5" s="28">
        <v>5</v>
      </c>
      <c r="M5" s="28">
        <v>3000</v>
      </c>
    </row>
    <row r="6" spans="3:13" x14ac:dyDescent="0.25">
      <c r="C6" s="28" t="s">
        <v>49</v>
      </c>
      <c r="D6" s="29" t="s">
        <v>47</v>
      </c>
      <c r="E6" s="28" t="s">
        <v>48</v>
      </c>
      <c r="F6" s="30">
        <v>41673</v>
      </c>
      <c r="G6" s="31">
        <f t="shared" ca="1" si="0"/>
        <v>12</v>
      </c>
      <c r="H6" s="32">
        <v>60915</v>
      </c>
      <c r="I6" s="29">
        <v>4</v>
      </c>
      <c r="J6" s="33" t="e" cm="1">
        <f t="array" aca="1" ref="J6" ca="1">_xlfn.IFS(I6=$J$4,$K$4,I6=$J$5,$K$5)</f>
        <v>#N/A</v>
      </c>
      <c r="K6" s="22"/>
      <c r="L6" s="28">
        <v>4</v>
      </c>
      <c r="M6" s="28">
        <v>1500</v>
      </c>
    </row>
    <row r="7" spans="3:13" x14ac:dyDescent="0.25">
      <c r="C7" s="28" t="s">
        <v>50</v>
      </c>
      <c r="D7" s="29" t="s">
        <v>47</v>
      </c>
      <c r="E7" s="28" t="s">
        <v>48</v>
      </c>
      <c r="F7" s="30">
        <v>40225</v>
      </c>
      <c r="G7" s="31">
        <f t="shared" ca="1" si="0"/>
        <v>16</v>
      </c>
      <c r="H7" s="32">
        <v>97071</v>
      </c>
      <c r="I7" s="29">
        <v>5</v>
      </c>
      <c r="J7" s="33" t="e" cm="1">
        <f t="array" aca="1" ref="J7" ca="1">_xlfn.IFS(I7=$J$4,$K$4,I7=$J$5,$K$5)</f>
        <v>#N/A</v>
      </c>
      <c r="K7" s="22"/>
      <c r="L7" s="28">
        <v>3</v>
      </c>
      <c r="M7" s="28">
        <v>900</v>
      </c>
    </row>
    <row r="8" spans="3:13" x14ac:dyDescent="0.25">
      <c r="C8" s="28" t="s">
        <v>51</v>
      </c>
      <c r="D8" s="29" t="s">
        <v>52</v>
      </c>
      <c r="E8" s="28" t="s">
        <v>48</v>
      </c>
      <c r="F8" s="30">
        <v>42229</v>
      </c>
      <c r="G8" s="31">
        <f t="shared" ca="1" si="0"/>
        <v>10</v>
      </c>
      <c r="H8" s="32">
        <v>115421</v>
      </c>
      <c r="I8" s="29">
        <v>3</v>
      </c>
      <c r="J8" s="33" t="e" cm="1">
        <f t="array" aca="1" ref="J8" ca="1">_xlfn.IFS(I8=$J$4,$K$4,I8=$J$5,$K$5)</f>
        <v>#N/A</v>
      </c>
      <c r="K8" s="22"/>
      <c r="L8" s="28">
        <v>2</v>
      </c>
      <c r="M8" s="28">
        <v>100</v>
      </c>
    </row>
    <row r="9" spans="3:13" x14ac:dyDescent="0.25">
      <c r="C9" s="28" t="s">
        <v>53</v>
      </c>
      <c r="D9" s="29" t="s">
        <v>54</v>
      </c>
      <c r="E9" s="28" t="s">
        <v>48</v>
      </c>
      <c r="F9" s="30">
        <v>40525</v>
      </c>
      <c r="G9" s="31">
        <f t="shared" ca="1" si="0"/>
        <v>15</v>
      </c>
      <c r="H9" s="32">
        <v>115547</v>
      </c>
      <c r="I9" s="29">
        <v>4</v>
      </c>
      <c r="J9" s="33" t="e" cm="1">
        <f t="array" aca="1" ref="J9" ca="1">_xlfn.IFS(I9=$J$4,$K$4,I9=$J$5,$K$5)</f>
        <v>#N/A</v>
      </c>
      <c r="K9" s="22"/>
      <c r="L9" s="28">
        <v>1</v>
      </c>
      <c r="M9" s="28">
        <v>0</v>
      </c>
    </row>
    <row r="10" spans="3:13" x14ac:dyDescent="0.25">
      <c r="C10" s="28" t="s">
        <v>55</v>
      </c>
      <c r="D10" s="29" t="s">
        <v>56</v>
      </c>
      <c r="E10" s="28" t="s">
        <v>57</v>
      </c>
      <c r="F10" s="30">
        <v>39829</v>
      </c>
      <c r="G10" s="31">
        <f t="shared" ca="1" si="0"/>
        <v>17</v>
      </c>
      <c r="H10" s="32">
        <v>69212</v>
      </c>
      <c r="I10" s="29">
        <v>2</v>
      </c>
      <c r="J10" s="33" t="e" cm="1">
        <f t="array" aca="1" ref="J10" ca="1">_xlfn.IFS(I10=$J$4,$K$4,I10=$J$5,$K$5)</f>
        <v>#N/A</v>
      </c>
      <c r="K10" s="22"/>
      <c r="L10" s="22"/>
      <c r="M10" s="22"/>
    </row>
    <row r="11" spans="3:13" x14ac:dyDescent="0.25">
      <c r="C11" s="28" t="s">
        <v>58</v>
      </c>
      <c r="D11" s="29" t="s">
        <v>52</v>
      </c>
      <c r="E11" s="28" t="s">
        <v>57</v>
      </c>
      <c r="F11" s="30">
        <v>37295</v>
      </c>
      <c r="G11" s="31">
        <f t="shared" ca="1" si="0"/>
        <v>24</v>
      </c>
      <c r="H11" s="32">
        <v>120198</v>
      </c>
      <c r="I11" s="29">
        <v>1</v>
      </c>
      <c r="J11" s="33" t="e" cm="1">
        <f t="array" aca="1" ref="J11" ca="1">_xlfn.IFS(I11=$J$4,$K$4,I11=$J$5,$K$5)</f>
        <v>#N/A</v>
      </c>
      <c r="K11" s="22"/>
      <c r="L11" s="22"/>
      <c r="M11" s="22"/>
    </row>
    <row r="12" spans="3:13" x14ac:dyDescent="0.25">
      <c r="C12" s="28" t="s">
        <v>59</v>
      </c>
      <c r="D12" s="29" t="s">
        <v>60</v>
      </c>
      <c r="E12" s="28" t="s">
        <v>57</v>
      </c>
      <c r="F12" s="30">
        <v>40267</v>
      </c>
      <c r="G12" s="31">
        <f t="shared" ca="1" si="0"/>
        <v>16</v>
      </c>
      <c r="H12" s="32">
        <v>107635</v>
      </c>
      <c r="I12" s="29">
        <v>5</v>
      </c>
      <c r="J12" s="33" t="e" cm="1">
        <f t="array" aca="1" ref="J12" ca="1">_xlfn.IFS(I12=$J$4,$K$4,I12=$J$5,$K$5)</f>
        <v>#N/A</v>
      </c>
      <c r="K12" s="22"/>
      <c r="L12" s="22"/>
      <c r="M12" s="22"/>
    </row>
    <row r="13" spans="3:13" x14ac:dyDescent="0.25">
      <c r="C13" s="28" t="s">
        <v>61</v>
      </c>
      <c r="D13" s="29" t="s">
        <v>56</v>
      </c>
      <c r="E13" s="28" t="s">
        <v>57</v>
      </c>
      <c r="F13" s="30">
        <v>37338</v>
      </c>
      <c r="G13" s="31">
        <f t="shared" ca="1" si="0"/>
        <v>24</v>
      </c>
      <c r="H13" s="32">
        <v>113020</v>
      </c>
      <c r="I13" s="29">
        <v>1</v>
      </c>
      <c r="J13" s="33" t="e" cm="1">
        <f t="array" aca="1" ref="J13" ca="1">_xlfn.IFS(I13=$J$4,$K$4,I13=$J$5,$K$5)</f>
        <v>#N/A</v>
      </c>
      <c r="K13" s="22"/>
      <c r="L13" s="22"/>
      <c r="M1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COUNTIFS and SUMIFS</vt:lpstr>
      <vt:lpstr>Handling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2021-09-02T21:47:07Z</dcterms:created>
  <dcterms:modified xsi:type="dcterms:W3CDTF">2026-05-19T00:41:11Z</dcterms:modified>
</cp:coreProperties>
</file>